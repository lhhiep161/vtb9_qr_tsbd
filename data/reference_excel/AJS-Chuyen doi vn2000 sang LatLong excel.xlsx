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A78592-EBEA-4A13-BDE2-501795EF4B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JS-Vn2000=&gt;LatLong" sheetId="10" r:id="rId1"/>
    <sheet name="START" sheetId="1" r:id="rId2"/>
    <sheet name="XY_GEO" sheetId="2" r:id="rId3"/>
    <sheet name="GEO_GEOCENTRIC" sheetId="3" r:id="rId4"/>
    <sheet name="TRANS 7 PARAMETERS" sheetId="4" r:id="rId5"/>
    <sheet name="GEOCENTRIC_GEO" sheetId="5" r:id="rId6"/>
    <sheet name="GEO_XY" sheetId="6" r:id="rId7"/>
    <sheet name="OPTION_PARAMETER" sheetId="7" r:id="rId8"/>
    <sheet name="LIST_COORDINATE" sheetId="8" r:id="rId9"/>
  </sheets>
  <definedNames>
    <definedName name="DSKTTRUC">OPTION_PARAMETER!$C$15:$D$77</definedName>
    <definedName name="DSTINHTP">OPTION_PARAMETER!$C$15:$C$77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Lk/Mcne3GYxR0bUlNzMU0rRaTtw=="/>
    </ext>
  </extLst>
</workbook>
</file>

<file path=xl/calcChain.xml><?xml version="1.0" encoding="utf-8"?>
<calcChain xmlns="http://schemas.openxmlformats.org/spreadsheetml/2006/main">
  <c r="H9" i="10" l="1"/>
  <c r="H2" i="10"/>
  <c r="D10" i="1" s="1"/>
  <c r="M8" i="10"/>
  <c r="M9" i="10"/>
  <c r="C8" i="1"/>
  <c r="C7" i="1"/>
  <c r="B13" i="10" l="1"/>
  <c r="C8" i="2"/>
  <c r="C15" i="6" l="1"/>
  <c r="C16" i="6" s="1"/>
  <c r="C14" i="6"/>
  <c r="C13" i="6"/>
  <c r="C11" i="6"/>
  <c r="C10" i="6"/>
  <c r="C9" i="6"/>
  <c r="C7" i="6"/>
  <c r="D7" i="6" s="1"/>
  <c r="D6" i="6"/>
  <c r="C28" i="5"/>
  <c r="C27" i="5"/>
  <c r="C15" i="5"/>
  <c r="C11" i="5"/>
  <c r="C12" i="5" s="1"/>
  <c r="C13" i="5" s="1"/>
  <c r="C10" i="5"/>
  <c r="C9" i="5"/>
  <c r="C8" i="5"/>
  <c r="C10" i="3"/>
  <c r="C11" i="3" s="1"/>
  <c r="C9" i="3"/>
  <c r="C8" i="3"/>
  <c r="C16" i="2"/>
  <c r="C17" i="2" s="1"/>
  <c r="C15" i="2"/>
  <c r="C14" i="2"/>
  <c r="C12" i="2"/>
  <c r="C11" i="2"/>
  <c r="C10" i="2"/>
  <c r="D8" i="2"/>
  <c r="C4" i="2"/>
  <c r="C3" i="2"/>
  <c r="I24" i="1"/>
  <c r="H13" i="4" s="1"/>
  <c r="G24" i="1"/>
  <c r="G13" i="4" s="1"/>
  <c r="F24" i="1"/>
  <c r="F13" i="4" s="1"/>
  <c r="E24" i="1"/>
  <c r="E13" i="4" s="1"/>
  <c r="D24" i="1"/>
  <c r="D13" i="4" s="1"/>
  <c r="C24" i="1"/>
  <c r="C13" i="4" s="1"/>
  <c r="B24" i="1"/>
  <c r="B13" i="4" s="1"/>
  <c r="G5" i="1"/>
  <c r="C5" i="1"/>
  <c r="I27" i="2" l="1"/>
  <c r="I26" i="2"/>
  <c r="I25" i="2"/>
  <c r="I33" i="2"/>
  <c r="I32" i="2"/>
  <c r="I31" i="2"/>
  <c r="C21" i="2"/>
  <c r="I30" i="2"/>
  <c r="C18" i="2"/>
  <c r="I28" i="2"/>
  <c r="I29" i="2"/>
  <c r="C12" i="3"/>
  <c r="I32" i="6"/>
  <c r="I31" i="6"/>
  <c r="C17" i="6"/>
  <c r="I30" i="6"/>
  <c r="I29" i="6"/>
  <c r="I28" i="6"/>
  <c r="I27" i="6"/>
  <c r="I26" i="6"/>
  <c r="I25" i="6"/>
  <c r="I24" i="6"/>
  <c r="C29" i="5"/>
  <c r="C22" i="2" l="1"/>
  <c r="C23" i="2" s="1"/>
  <c r="C24" i="2" s="1"/>
  <c r="C25" i="2" s="1"/>
  <c r="C25" i="6"/>
  <c r="C26" i="2" l="1"/>
  <c r="C28" i="2"/>
  <c r="C27" i="2"/>
  <c r="C30" i="2" s="1"/>
  <c r="C29" i="2"/>
  <c r="C34" i="2" l="1"/>
  <c r="D34" i="2" s="1"/>
  <c r="C33" i="2"/>
  <c r="D33" i="2" s="1"/>
  <c r="C5" i="3" l="1"/>
  <c r="D5" i="3" s="1"/>
  <c r="E34" i="2"/>
  <c r="C4" i="3"/>
  <c r="D4" i="3" s="1"/>
  <c r="C17" i="3" s="1"/>
  <c r="E33" i="2"/>
  <c r="C18" i="5" l="1"/>
  <c r="C19" i="3"/>
  <c r="C7" i="4" s="1"/>
  <c r="C18" i="3"/>
  <c r="C6" i="4" s="1"/>
  <c r="C20" i="3"/>
  <c r="C8" i="4" s="1"/>
  <c r="C18" i="4" l="1"/>
  <c r="C4" i="5" s="1"/>
  <c r="C19" i="4"/>
  <c r="C5" i="5" s="1"/>
  <c r="C20" i="4"/>
  <c r="C6" i="5" s="1"/>
  <c r="C24" i="5" l="1"/>
  <c r="C19" i="5"/>
  <c r="C20" i="5" s="1"/>
  <c r="C23" i="5" s="1"/>
  <c r="D23" i="5" s="1"/>
  <c r="H8" i="10" s="1"/>
  <c r="D27" i="5" l="1"/>
  <c r="D28" i="5"/>
  <c r="D29" i="5" s="1"/>
  <c r="D24" i="5" s="1"/>
  <c r="C11" i="10" s="1"/>
  <c r="I8" i="10"/>
  <c r="C4" i="6"/>
  <c r="D4" i="6" s="1"/>
  <c r="C25" i="5"/>
  <c r="D25" i="5" s="1"/>
  <c r="I9" i="10" l="1"/>
  <c r="C5" i="6"/>
  <c r="D5" i="6" s="1"/>
  <c r="C20" i="6" s="1"/>
  <c r="C23" i="6"/>
  <c r="C24" i="6"/>
  <c r="C22" i="6"/>
  <c r="C21" i="6"/>
  <c r="C28" i="6" l="1"/>
  <c r="G8" i="1" s="1"/>
  <c r="C27" i="6"/>
  <c r="G7" i="1" s="1"/>
</calcChain>
</file>

<file path=xl/sharedStrings.xml><?xml version="1.0" encoding="utf-8"?>
<sst xmlns="http://schemas.openxmlformats.org/spreadsheetml/2006/main" count="326" uniqueCount="178">
  <si>
    <t>SELECT YOUR CHOICE :</t>
  </si>
  <si>
    <t>Input</t>
  </si>
  <si>
    <t>Output</t>
  </si>
  <si>
    <t>STT</t>
  </si>
  <si>
    <t xml:space="preserve"> Tỉnh, thành phố</t>
  </si>
  <si>
    <t xml:space="preserve"> Kinh tuyến trục</t>
  </si>
  <si>
    <t>Lai Châu</t>
  </si>
  <si>
    <t>DEMO 1 cặp điểm</t>
  </si>
  <si>
    <t>X (m)</t>
  </si>
  <si>
    <t xml:space="preserve">Sơn La </t>
  </si>
  <si>
    <t>Y (m):</t>
  </si>
  <si>
    <t xml:space="preserve">Kiên Giang </t>
  </si>
  <si>
    <t xml:space="preserve">Cà Mau </t>
  </si>
  <si>
    <t>Zone</t>
  </si>
  <si>
    <t>MC:</t>
  </si>
  <si>
    <t xml:space="preserve">Lào Cai </t>
  </si>
  <si>
    <t>False Easting</t>
  </si>
  <si>
    <t xml:space="preserve">Yên Bái </t>
  </si>
  <si>
    <t>False Northing</t>
  </si>
  <si>
    <t xml:space="preserve">Nghệ An </t>
  </si>
  <si>
    <t>Scale Factor</t>
  </si>
  <si>
    <t>Phú Thọ</t>
  </si>
  <si>
    <t xml:space="preserve">An Giang </t>
  </si>
  <si>
    <t>Ellipsoid</t>
  </si>
  <si>
    <t>WGS84</t>
  </si>
  <si>
    <t>Thanh Hoá</t>
  </si>
  <si>
    <t>Semimajor a:</t>
  </si>
  <si>
    <t xml:space="preserve">Vĩnh Phúc </t>
  </si>
  <si>
    <t>Semiminor b:</t>
  </si>
  <si>
    <t xml:space="preserve">Hà Tây </t>
  </si>
  <si>
    <t>1 / f:</t>
  </si>
  <si>
    <t>Đồng Tháp</t>
  </si>
  <si>
    <t>Cần Thơ</t>
  </si>
  <si>
    <t xml:space="preserve">Bạc Liêu </t>
  </si>
  <si>
    <t xml:space="preserve">Hà Nội </t>
  </si>
  <si>
    <t>7 PARAMETERS TO TRANSFORM VN2000 TO WGS84</t>
  </si>
  <si>
    <t>Ninh Bình</t>
  </si>
  <si>
    <t xml:space="preserve">DELTA_X </t>
  </si>
  <si>
    <t>DELTA_Y</t>
  </si>
  <si>
    <t>DELTA_Z</t>
  </si>
  <si>
    <t>ROT_X</t>
  </si>
  <si>
    <t>ROT_Y</t>
  </si>
  <si>
    <t>ROT_Z</t>
  </si>
  <si>
    <t>BWSCALE</t>
  </si>
  <si>
    <t>Hà Nam</t>
  </si>
  <si>
    <t xml:space="preserve">Hà Giang </t>
  </si>
  <si>
    <t xml:space="preserve">Hải Dương </t>
  </si>
  <si>
    <t>Hà Tĩnh</t>
  </si>
  <si>
    <t>Bắc Ninh</t>
  </si>
  <si>
    <t>Hưng Yên</t>
  </si>
  <si>
    <t>Thái Bình</t>
  </si>
  <si>
    <t>Nam Định</t>
  </si>
  <si>
    <t>Tây Ninh</t>
  </si>
  <si>
    <t>Vĩnh Long</t>
  </si>
  <si>
    <t xml:space="preserve">Sóc Trăng </t>
  </si>
  <si>
    <t>Trà Vinh</t>
  </si>
  <si>
    <t>Cao Bằng</t>
  </si>
  <si>
    <t>Long An</t>
  </si>
  <si>
    <t>Tiền Giang</t>
  </si>
  <si>
    <t>Bến Tre</t>
  </si>
  <si>
    <t>Hải Phòng</t>
  </si>
  <si>
    <t>Thành phố Hồ Chí Minh</t>
  </si>
  <si>
    <t xml:space="preserve">Bình Dương </t>
  </si>
  <si>
    <t xml:space="preserve">Tuyên Quang </t>
  </si>
  <si>
    <t>Hoà Bình</t>
  </si>
  <si>
    <t>Quảng Bình</t>
  </si>
  <si>
    <t>Quảng Trị</t>
  </si>
  <si>
    <t>Bình Phước</t>
  </si>
  <si>
    <t>Bắc Kạn</t>
  </si>
  <si>
    <t>Thái Nguyên</t>
  </si>
  <si>
    <t>Bắc Giang</t>
  </si>
  <si>
    <t xml:space="preserve">Thừa Thiên - Huế </t>
  </si>
  <si>
    <t>Lạng Sơn</t>
  </si>
  <si>
    <t>Kon Tum</t>
  </si>
  <si>
    <t>Quảng Ninh</t>
  </si>
  <si>
    <t>Đồng Nai</t>
  </si>
  <si>
    <t>Bà Rịa - Vũng Tàu</t>
  </si>
  <si>
    <t>Quảng Nam</t>
  </si>
  <si>
    <t>Lâm Đồng</t>
  </si>
  <si>
    <t>Đà Nẵng</t>
  </si>
  <si>
    <t>Quảng Ngãi</t>
  </si>
  <si>
    <t>Ninh Thuận</t>
  </si>
  <si>
    <t>Khánh Hoà</t>
  </si>
  <si>
    <t>Bình Định</t>
  </si>
  <si>
    <t>Đắc Lắc</t>
  </si>
  <si>
    <t>Phú Yên</t>
  </si>
  <si>
    <t>Gia Lai</t>
  </si>
  <si>
    <t>Bình Thuận</t>
  </si>
  <si>
    <t>UTM_GEO</t>
  </si>
  <si>
    <t>X</t>
  </si>
  <si>
    <t>Y</t>
  </si>
  <si>
    <t xml:space="preserve">Degrees </t>
  </si>
  <si>
    <t>Radians</t>
  </si>
  <si>
    <t>Latitude  of natural Original (ϕ0)</t>
  </si>
  <si>
    <t>Longitude of natural Original (λ0)</t>
  </si>
  <si>
    <t>a</t>
  </si>
  <si>
    <t>1/f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</si>
  <si>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</si>
  <si>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e'²</t>
  </si>
  <si>
    <t>Calculation</t>
  </si>
  <si>
    <t>e1</t>
  </si>
  <si>
    <t>M0</t>
  </si>
  <si>
    <t>M1</t>
  </si>
  <si>
    <t>μ1</t>
  </si>
  <si>
    <t>ϕ1</t>
  </si>
  <si>
    <r>
      <rPr>
        <sz val="11"/>
        <color theme="1"/>
        <rFont val="Calibri"/>
        <family val="2"/>
      </rPr>
      <t>e</t>
    </r>
    <r>
      <rPr>
        <sz val="11"/>
        <color rgb="FF000000"/>
        <rFont val="Calibri"/>
        <family val="2"/>
      </rPr>
      <t>²/4</t>
    </r>
  </si>
  <si>
    <t>T1</t>
  </si>
  <si>
    <t>3e^4/64</t>
  </si>
  <si>
    <t>v1</t>
  </si>
  <si>
    <t>5e^6/256</t>
  </si>
  <si>
    <t>ρ1</t>
  </si>
  <si>
    <r>
      <rPr>
        <sz val="11"/>
        <color theme="1"/>
        <rFont val="Calibri"/>
        <family val="2"/>
      </rPr>
      <t>3e</t>
    </r>
    <r>
      <rPr>
        <sz val="11"/>
        <color rgb="FF000000"/>
        <rFont val="Calibri"/>
        <family val="2"/>
      </rPr>
      <t>²/8</t>
    </r>
  </si>
  <si>
    <t>C1</t>
  </si>
  <si>
    <t>3e^4/32</t>
  </si>
  <si>
    <t>D</t>
  </si>
  <si>
    <t>45e^6/1024</t>
  </si>
  <si>
    <r>
      <rPr>
        <sz val="11"/>
        <color theme="1"/>
        <rFont val="Calibri"/>
        <family val="2"/>
      </rPr>
      <t>15e</t>
    </r>
    <r>
      <rPr>
        <sz val="11"/>
        <color rgb="FF000000"/>
        <rFont val="Calibri"/>
        <family val="2"/>
      </rPr>
      <t>^4/256</t>
    </r>
  </si>
  <si>
    <t>Latitude</t>
  </si>
  <si>
    <t>35e^6/3072</t>
  </si>
  <si>
    <t>Longitude</t>
  </si>
  <si>
    <t>GEO_GEOCENTRIC</t>
  </si>
  <si>
    <t>Latitude (ϕ)</t>
  </si>
  <si>
    <t>Longitude (λ)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</si>
  <si>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</si>
  <si>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Height (meters)</t>
  </si>
  <si>
    <t>ν</t>
  </si>
  <si>
    <t>Z</t>
  </si>
  <si>
    <t>TRANS 7 PARAMETERS</t>
  </si>
  <si>
    <t>Original Geocentric Coordinates</t>
  </si>
  <si>
    <t>X Geocentric</t>
  </si>
  <si>
    <t>Y Geocentric</t>
  </si>
  <si>
    <t>Z Geocentric</t>
  </si>
  <si>
    <t>Transformation Geocentric Coordinates</t>
  </si>
  <si>
    <t>GEOCENTRIC_GEO</t>
  </si>
  <si>
    <t>b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</si>
  <si>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</si>
  <si>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p</t>
  </si>
  <si>
    <t>θ</t>
  </si>
  <si>
    <t>GEO_UTM</t>
  </si>
  <si>
    <t>Latitude  of natural Origin (ϕ0)</t>
  </si>
  <si>
    <t>Longitude of natural Origin (λ0)</t>
  </si>
  <si>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²</t>
    </r>
  </si>
  <si>
    <t>A</t>
  </si>
  <si>
    <t>T</t>
  </si>
  <si>
    <t>v</t>
  </si>
  <si>
    <t>C</t>
  </si>
  <si>
    <t>M</t>
  </si>
  <si>
    <r>
      <rPr>
        <sz val="11"/>
        <color theme="1"/>
        <rFont val="Calibri"/>
        <family val="2"/>
      </rPr>
      <t>e</t>
    </r>
    <r>
      <rPr>
        <sz val="11"/>
        <color rgb="FF000000"/>
        <rFont val="Calibri"/>
        <family val="2"/>
      </rPr>
      <t>²/4</t>
    </r>
  </si>
  <si>
    <t>Mo</t>
  </si>
  <si>
    <t>X:</t>
  </si>
  <si>
    <r>
      <rPr>
        <sz val="11"/>
        <color theme="1"/>
        <rFont val="Calibri"/>
        <family val="2"/>
      </rPr>
      <t>3e</t>
    </r>
    <r>
      <rPr>
        <sz val="11"/>
        <color rgb="FF000000"/>
        <rFont val="Calibri"/>
        <family val="2"/>
      </rPr>
      <t>²/8</t>
    </r>
  </si>
  <si>
    <t>Y:</t>
  </si>
  <si>
    <r>
      <rPr>
        <sz val="11"/>
        <color theme="1"/>
        <rFont val="Calibri"/>
        <family val="2"/>
      </rPr>
      <t>15e</t>
    </r>
    <r>
      <rPr>
        <sz val="11"/>
        <color rgb="FF000000"/>
        <rFont val="Calibri"/>
        <family val="2"/>
      </rPr>
      <t>^4/256</t>
    </r>
  </si>
  <si>
    <t>VN2000 HỘI NHẬP -&gt; WGS84 (OR VN2000 NỘI BỘ)</t>
  </si>
  <si>
    <t>WGS84 (OR VN2000 NỘI BỘ) -&gt; VN2000 HỘI NHẬP</t>
  </si>
  <si>
    <t>Datum</t>
  </si>
  <si>
    <t>VN2000- 3 degrees</t>
  </si>
  <si>
    <t>VN2000</t>
  </si>
  <si>
    <t>UTM (WGS84)</t>
  </si>
  <si>
    <t>X_Trans</t>
  </si>
  <si>
    <t>Y_Trans</t>
  </si>
  <si>
    <r>
      <rPr>
        <b/>
        <sz val="11"/>
        <color theme="1"/>
        <rFont val="Calibri"/>
        <family val="2"/>
      </rPr>
      <t>Note:</t>
    </r>
    <r>
      <rPr>
        <i/>
        <sz val="11"/>
        <color theme="1"/>
        <rFont val="Calibri"/>
        <family val="2"/>
      </rPr>
      <t xml:space="preserve"> X, Y là các cặp điểm cần chuyển, X_Trans Y_Trans là kết quả được chuyển</t>
    </r>
  </si>
  <si>
    <t>Đắc Nông</t>
  </si>
  <si>
    <t>Điện Biên</t>
  </si>
  <si>
    <t>Hậu Giang</t>
  </si>
  <si>
    <t>Hòa Bình</t>
  </si>
  <si>
    <t>Khánh Hòa</t>
  </si>
  <si>
    <t>Thanh Hóa</t>
  </si>
  <si>
    <t>TP Hồ Chí Minh</t>
  </si>
  <si>
    <t xml:space="preserve">Thừa Thiên Huế </t>
  </si>
  <si>
    <t>Địa phương (Tỉnh/TP)</t>
  </si>
  <si>
    <t>Múi chiếu</t>
  </si>
  <si>
    <t>Long:</t>
  </si>
  <si>
    <t>Lat:</t>
  </si>
  <si>
    <t>KT Trục</t>
  </si>
  <si>
    <t>Lat/Long</t>
  </si>
  <si>
    <t>Link</t>
  </si>
  <si>
    <t>Tọa độ VN2000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</si>
</sst>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#,##0.000"/>
    <numFmt numFmtId="167" formatCode="#,##0.0000000"/>
    <numFmt numFmtId="168" formatCode="#,##0.000000000"/>
  </numFmts>
  <fonts count="34" x14ac:knownFonts="1">
    <font>
      <sz val="11"/>
      <color theme="1"/>
      <name val="Arial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sz val="11"/>
      <color theme="1"/>
      <name val="Calibri"/>
      <family val="2"/>
    </font>
    <font>
      <b/>
      <i/>
      <sz val="12"/>
      <color theme="1"/>
      <name val="Arial"/>
      <family val="2"/>
    </font>
    <font>
      <b/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8"/>
      <color rgb="FFFF0000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Calibri"/>
      <family val="2"/>
    </font>
    <font>
      <b/>
      <u/>
      <sz val="11"/>
      <color theme="10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</font>
    <font>
      <sz val="11"/>
      <color theme="0"/>
      <name val="Arial"/>
      <family val="2"/>
    </font>
    <font>
      <b/>
      <sz val="13"/>
      <color theme="0"/>
      <name val="Calibri"/>
      <family val="2"/>
    </font>
    <font>
      <b/>
      <sz val="11"/>
      <color theme="0"/>
      <name val="Arial"/>
      <family val="2"/>
    </font>
    <font>
      <b/>
      <i/>
      <sz val="12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1"/>
      <color rgb="FFFF0000"/>
      <name val="Arial"/>
      <family val="2"/>
    </font>
    <font>
      <sz val="8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66CC"/>
        <bgColor rgb="FF0066CC"/>
      </patternFill>
    </fill>
    <fill>
      <patternFill patternType="solid">
        <fgColor rgb="FFFFCC99"/>
        <bgColor rgb="FFFFCC99"/>
      </patternFill>
    </fill>
    <fill>
      <patternFill patternType="solid">
        <fgColor rgb="FFFF99FF"/>
        <bgColor rgb="FFFF99FF"/>
      </patternFill>
    </fill>
    <fill>
      <patternFill patternType="solid">
        <fgColor rgb="FF92D050"/>
        <bgColor rgb="FF92D05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66CC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7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2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9" fillId="0" borderId="0" xfId="0" applyFont="1"/>
    <xf numFmtId="0" fontId="9" fillId="4" borderId="6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right"/>
    </xf>
    <xf numFmtId="0" fontId="1" fillId="6" borderId="7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9" fillId="4" borderId="11" xfId="0" applyFont="1" applyFill="1" applyBorder="1" applyAlignment="1">
      <alignment horizontal="right"/>
    </xf>
    <xf numFmtId="0" fontId="9" fillId="4" borderId="12" xfId="0" applyFont="1" applyFill="1" applyBorder="1" applyAlignment="1">
      <alignment horizontal="right"/>
    </xf>
    <xf numFmtId="0" fontId="1" fillId="5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right"/>
    </xf>
    <xf numFmtId="0" fontId="9" fillId="8" borderId="9" xfId="0" applyFont="1" applyFill="1" applyBorder="1" applyAlignment="1">
      <alignment horizontal="right"/>
    </xf>
    <xf numFmtId="4" fontId="1" fillId="0" borderId="10" xfId="0" applyNumberFormat="1" applyFont="1" applyBorder="1" applyAlignment="1">
      <alignment vertical="center"/>
    </xf>
    <xf numFmtId="0" fontId="9" fillId="8" borderId="11" xfId="0" applyFont="1" applyFill="1" applyBorder="1" applyAlignment="1">
      <alignment horizontal="right"/>
    </xf>
    <xf numFmtId="4" fontId="1" fillId="0" borderId="10" xfId="0" applyNumberFormat="1" applyFont="1" applyBorder="1" applyAlignment="1">
      <alignment horizontal="right" vertical="center"/>
    </xf>
    <xf numFmtId="0" fontId="9" fillId="8" borderId="12" xfId="0" applyFont="1" applyFill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9" fillId="8" borderId="14" xfId="0" applyFont="1" applyFill="1" applyBorder="1" applyAlignment="1">
      <alignment horizontal="right"/>
    </xf>
    <xf numFmtId="4" fontId="12" fillId="0" borderId="0" xfId="0" applyNumberFormat="1" applyFont="1" applyAlignment="1">
      <alignment vertic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5" fontId="13" fillId="0" borderId="12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" fillId="0" borderId="25" xfId="0" applyFont="1" applyBorder="1"/>
    <xf numFmtId="0" fontId="14" fillId="0" borderId="25" xfId="0" applyFont="1" applyBorder="1"/>
    <xf numFmtId="0" fontId="1" fillId="0" borderId="26" xfId="0" applyFont="1" applyBorder="1"/>
    <xf numFmtId="3" fontId="11" fillId="0" borderId="0" xfId="0" applyNumberFormat="1" applyFont="1"/>
    <xf numFmtId="0" fontId="15" fillId="0" borderId="0" xfId="0" applyFont="1"/>
    <xf numFmtId="0" fontId="16" fillId="0" borderId="0" xfId="0" applyFont="1" applyAlignment="1">
      <alignment horizontal="right"/>
    </xf>
    <xf numFmtId="4" fontId="1" fillId="0" borderId="0" xfId="0" applyNumberFormat="1" applyFont="1"/>
    <xf numFmtId="0" fontId="16" fillId="0" borderId="0" xfId="0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5" xfId="0" applyFont="1" applyBorder="1"/>
    <xf numFmtId="0" fontId="1" fillId="0" borderId="33" xfId="0" applyFont="1" applyBorder="1"/>
    <xf numFmtId="0" fontId="1" fillId="0" borderId="34" xfId="0" applyFont="1" applyBorder="1"/>
    <xf numFmtId="0" fontId="16" fillId="0" borderId="0" xfId="0" applyFont="1" applyAlignment="1">
      <alignment horizontal="center" vertical="center"/>
    </xf>
    <xf numFmtId="0" fontId="16" fillId="9" borderId="1" xfId="0" applyFont="1" applyFill="1" applyBorder="1" applyAlignment="1">
      <alignment horizontal="right"/>
    </xf>
    <xf numFmtId="0" fontId="1" fillId="9" borderId="1" xfId="0" applyFont="1" applyFill="1" applyBorder="1"/>
    <xf numFmtId="0" fontId="1" fillId="0" borderId="0" xfId="0" applyFont="1" applyAlignment="1">
      <alignment wrapText="1"/>
    </xf>
    <xf numFmtId="0" fontId="13" fillId="0" borderId="0" xfId="0" applyFont="1"/>
    <xf numFmtId="0" fontId="9" fillId="0" borderId="2" xfId="0" applyFont="1" applyBorder="1"/>
    <xf numFmtId="2" fontId="13" fillId="0" borderId="2" xfId="0" applyNumberFormat="1" applyFont="1" applyBorder="1"/>
    <xf numFmtId="2" fontId="13" fillId="0" borderId="0" xfId="0" applyNumberFormat="1" applyFont="1"/>
    <xf numFmtId="0" fontId="9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center" vertical="center"/>
    </xf>
    <xf numFmtId="0" fontId="9" fillId="9" borderId="2" xfId="0" applyFont="1" applyFill="1" applyBorder="1"/>
    <xf numFmtId="165" fontId="13" fillId="9" borderId="2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8" fillId="0" borderId="0" xfId="0" applyFont="1"/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165" fontId="13" fillId="0" borderId="47" xfId="0" applyNumberFormat="1" applyFont="1" applyBorder="1" applyAlignment="1">
      <alignment horizontal="center" vertical="center"/>
    </xf>
    <xf numFmtId="165" fontId="13" fillId="0" borderId="48" xfId="0" applyNumberFormat="1" applyFont="1" applyBorder="1" applyAlignment="1">
      <alignment horizontal="center" vertical="center"/>
    </xf>
    <xf numFmtId="165" fontId="13" fillId="0" borderId="49" xfId="0" applyNumberFormat="1" applyFont="1" applyBorder="1" applyAlignment="1">
      <alignment horizontal="center" vertical="center"/>
    </xf>
    <xf numFmtId="0" fontId="1" fillId="0" borderId="47" xfId="0" applyFont="1" applyBorder="1"/>
    <xf numFmtId="0" fontId="1" fillId="0" borderId="48" xfId="0" applyFont="1" applyBorder="1"/>
    <xf numFmtId="0" fontId="1" fillId="0" borderId="50" xfId="0" applyFont="1" applyBorder="1"/>
    <xf numFmtId="0" fontId="1" fillId="0" borderId="51" xfId="0" applyFont="1" applyBorder="1"/>
    <xf numFmtId="0" fontId="19" fillId="0" borderId="6" xfId="0" applyFont="1" applyBorder="1"/>
    <xf numFmtId="0" fontId="19" fillId="0" borderId="7" xfId="0" applyFont="1" applyBorder="1"/>
    <xf numFmtId="0" fontId="4" fillId="0" borderId="0" xfId="0" applyFont="1" applyAlignment="1">
      <alignment horizontal="left" vertical="top"/>
    </xf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9" fillId="10" borderId="1" xfId="0" applyFont="1" applyFill="1" applyBorder="1" applyAlignment="1">
      <alignment horizontal="left" vertical="center"/>
    </xf>
    <xf numFmtId="0" fontId="14" fillId="0" borderId="0" xfId="0" applyFont="1"/>
    <xf numFmtId="166" fontId="1" fillId="0" borderId="0" xfId="0" applyNumberFormat="1" applyFont="1" applyAlignment="1">
      <alignment vertical="center"/>
    </xf>
    <xf numFmtId="3" fontId="0" fillId="0" borderId="0" xfId="0" applyNumberFormat="1"/>
    <xf numFmtId="167" fontId="10" fillId="0" borderId="0" xfId="0" applyNumberFormat="1" applyFont="1" applyAlignment="1">
      <alignment vertical="center" wrapText="1"/>
    </xf>
    <xf numFmtId="0" fontId="21" fillId="0" borderId="0" xfId="0" applyFont="1"/>
    <xf numFmtId="168" fontId="25" fillId="11" borderId="52" xfId="0" applyNumberFormat="1" applyFont="1" applyFill="1" applyBorder="1" applyAlignment="1">
      <alignment vertical="center"/>
    </xf>
    <xf numFmtId="0" fontId="24" fillId="11" borderId="4" xfId="0" applyFont="1" applyFill="1" applyBorder="1" applyAlignment="1">
      <alignment horizontal="center" vertical="center"/>
    </xf>
    <xf numFmtId="0" fontId="0" fillId="11" borderId="54" xfId="0" applyFill="1" applyBorder="1"/>
    <xf numFmtId="0" fontId="0" fillId="11" borderId="55" xfId="0" applyFill="1" applyBorder="1"/>
    <xf numFmtId="0" fontId="0" fillId="11" borderId="56" xfId="0" applyFill="1" applyBorder="1"/>
    <xf numFmtId="0" fontId="0" fillId="11" borderId="57" xfId="0" applyFill="1" applyBorder="1"/>
    <xf numFmtId="0" fontId="0" fillId="11" borderId="4" xfId="0" applyFill="1" applyBorder="1"/>
    <xf numFmtId="0" fontId="0" fillId="11" borderId="58" xfId="0" applyFill="1" applyBorder="1"/>
    <xf numFmtId="0" fontId="1" fillId="11" borderId="4" xfId="0" applyFont="1" applyFill="1" applyBorder="1"/>
    <xf numFmtId="0" fontId="4" fillId="11" borderId="58" xfId="0" applyFont="1" applyFill="1" applyBorder="1"/>
    <xf numFmtId="167" fontId="10" fillId="11" borderId="58" xfId="0" applyNumberFormat="1" applyFont="1" applyFill="1" applyBorder="1" applyAlignment="1">
      <alignment vertical="center" wrapText="1"/>
    </xf>
    <xf numFmtId="0" fontId="9" fillId="11" borderId="4" xfId="0" applyFont="1" applyFill="1" applyBorder="1" applyAlignment="1">
      <alignment vertical="center"/>
    </xf>
    <xf numFmtId="0" fontId="9" fillId="11" borderId="4" xfId="0" applyFont="1" applyFill="1" applyBorder="1"/>
    <xf numFmtId="0" fontId="0" fillId="11" borderId="60" xfId="0" applyFill="1" applyBorder="1"/>
    <xf numFmtId="0" fontId="0" fillId="11" borderId="61" xfId="0" applyFill="1" applyBorder="1"/>
    <xf numFmtId="0" fontId="1" fillId="11" borderId="61" xfId="0" applyFont="1" applyFill="1" applyBorder="1"/>
    <xf numFmtId="0" fontId="0" fillId="11" borderId="62" xfId="0" applyFill="1" applyBorder="1"/>
    <xf numFmtId="0" fontId="27" fillId="11" borderId="52" xfId="0" applyFont="1" applyFill="1" applyBorder="1" applyAlignment="1">
      <alignment horizontal="right" vertical="center"/>
    </xf>
    <xf numFmtId="0" fontId="25" fillId="11" borderId="4" xfId="0" applyFont="1" applyFill="1" applyBorder="1" applyAlignment="1">
      <alignment horizontal="center" vertical="top"/>
    </xf>
    <xf numFmtId="0" fontId="25" fillId="11" borderId="4" xfId="0" applyFont="1" applyFill="1" applyBorder="1"/>
    <xf numFmtId="0" fontId="29" fillId="11" borderId="4" xfId="0" applyFont="1" applyFill="1" applyBorder="1"/>
    <xf numFmtId="0" fontId="30" fillId="11" borderId="52" xfId="0" applyFont="1" applyFill="1" applyBorder="1" applyAlignment="1">
      <alignment vertical="center"/>
    </xf>
    <xf numFmtId="0" fontId="26" fillId="11" borderId="4" xfId="0" applyFont="1" applyFill="1" applyBorder="1"/>
    <xf numFmtId="0" fontId="27" fillId="11" borderId="53" xfId="0" applyFont="1" applyFill="1" applyBorder="1" applyAlignment="1">
      <alignment horizontal="right" vertical="center"/>
    </xf>
    <xf numFmtId="0" fontId="23" fillId="11" borderId="61" xfId="1" applyFont="1" applyFill="1" applyBorder="1" applyAlignment="1">
      <alignment vertical="top"/>
    </xf>
    <xf numFmtId="166" fontId="25" fillId="12" borderId="52" xfId="0" applyNumberFormat="1" applyFont="1" applyFill="1" applyBorder="1" applyAlignment="1">
      <alignment vertical="center"/>
    </xf>
    <xf numFmtId="0" fontId="31" fillId="11" borderId="4" xfId="0" applyFont="1" applyFill="1" applyBorder="1" applyAlignment="1">
      <alignment horizontal="right"/>
    </xf>
    <xf numFmtId="0" fontId="28" fillId="12" borderId="65" xfId="0" applyFont="1" applyFill="1" applyBorder="1" applyAlignment="1">
      <alignment horizontal="left" vertical="center"/>
    </xf>
    <xf numFmtId="0" fontId="32" fillId="11" borderId="52" xfId="0" applyFont="1" applyFill="1" applyBorder="1" applyAlignment="1">
      <alignment horizontal="left" vertical="center" indent="1"/>
    </xf>
    <xf numFmtId="0" fontId="27" fillId="11" borderId="4" xfId="0" applyFont="1" applyFill="1" applyBorder="1" applyAlignment="1">
      <alignment horizontal="right" vertical="center"/>
    </xf>
    <xf numFmtId="0" fontId="28" fillId="11" borderId="58" xfId="0" applyFont="1" applyFill="1" applyBorder="1"/>
    <xf numFmtId="168" fontId="33" fillId="0" borderId="0" xfId="0" applyNumberFormat="1" applyFont="1" applyAlignment="1">
      <alignment horizontal="left" indent="6"/>
    </xf>
    <xf numFmtId="0" fontId="24" fillId="12" borderId="63" xfId="0" applyFont="1" applyFill="1" applyBorder="1" applyAlignment="1">
      <alignment horizontal="center" vertical="center"/>
    </xf>
    <xf numFmtId="0" fontId="24" fillId="12" borderId="64" xfId="0" applyFont="1" applyFill="1" applyBorder="1" applyAlignment="1">
      <alignment horizontal="center" vertical="center"/>
    </xf>
    <xf numFmtId="0" fontId="22" fillId="13" borderId="59" xfId="0" applyFont="1" applyFill="1" applyBorder="1" applyAlignment="1">
      <alignment horizontal="center" vertical="center"/>
    </xf>
    <xf numFmtId="0" fontId="11" fillId="11" borderId="59" xfId="0" applyFont="1" applyFill="1" applyBorder="1"/>
    <xf numFmtId="0" fontId="25" fillId="11" borderId="4" xfId="0" applyFont="1" applyFill="1" applyBorder="1" applyAlignment="1">
      <alignment horizontal="center"/>
    </xf>
    <xf numFmtId="0" fontId="26" fillId="11" borderId="4" xfId="0" applyFont="1" applyFill="1" applyBorder="1"/>
    <xf numFmtId="0" fontId="20" fillId="11" borderId="4" xfId="1" applyFill="1" applyBorder="1" applyAlignment="1">
      <alignment horizontal="right" indent="1"/>
    </xf>
    <xf numFmtId="0" fontId="14" fillId="0" borderId="25" xfId="0" applyFont="1" applyBorder="1" applyAlignment="1">
      <alignment horizontal="left"/>
    </xf>
    <xf numFmtId="0" fontId="0" fillId="0" borderId="0" xfId="0"/>
    <xf numFmtId="0" fontId="14" fillId="0" borderId="0" xfId="0" applyFont="1" applyAlignment="1">
      <alignment horizontal="left" vertical="top"/>
    </xf>
    <xf numFmtId="0" fontId="11" fillId="0" borderId="26" xfId="0" applyFont="1" applyBorder="1"/>
    <xf numFmtId="0" fontId="14" fillId="0" borderId="27" xfId="0" applyFont="1" applyBorder="1" applyAlignment="1">
      <alignment horizontal="left" vertical="top"/>
    </xf>
    <xf numFmtId="0" fontId="11" fillId="0" borderId="28" xfId="0" applyFont="1" applyBorder="1"/>
    <xf numFmtId="0" fontId="11" fillId="0" borderId="29" xfId="0" applyFont="1" applyBorder="1"/>
    <xf numFmtId="0" fontId="2" fillId="0" borderId="0" xfId="0" applyFont="1" applyAlignment="1">
      <alignment horizontal="right" vertical="top"/>
    </xf>
    <xf numFmtId="0" fontId="8" fillId="3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1" fillId="0" borderId="5" xfId="0" applyFont="1" applyBorder="1"/>
    <xf numFmtId="0" fontId="9" fillId="0" borderId="0" xfId="0" applyFont="1" applyAlignment="1">
      <alignment horizontal="center" vertical="center"/>
    </xf>
    <xf numFmtId="49" fontId="9" fillId="7" borderId="15" xfId="0" applyNumberFormat="1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9" fillId="2" borderId="15" xfId="0" applyFont="1" applyFill="1" applyBorder="1" applyAlignment="1">
      <alignment horizontal="center"/>
    </xf>
    <xf numFmtId="0" fontId="2" fillId="0" borderId="22" xfId="0" applyFont="1" applyBorder="1" applyAlignment="1">
      <alignment horizontal="left" vertical="top"/>
    </xf>
    <xf numFmtId="0" fontId="11" fillId="0" borderId="23" xfId="0" applyFont="1" applyBorder="1"/>
    <xf numFmtId="0" fontId="11" fillId="0" borderId="24" xfId="0" applyFont="1" applyBorder="1"/>
    <xf numFmtId="0" fontId="17" fillId="0" borderId="0" xfId="0" applyFont="1" applyAlignment="1">
      <alignment horizontal="center"/>
    </xf>
    <xf numFmtId="0" fontId="9" fillId="0" borderId="35" xfId="0" applyFont="1" applyBorder="1" applyAlignment="1">
      <alignment horizontal="center" vertical="center" wrapText="1"/>
    </xf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9" fillId="2" borderId="39" xfId="0" applyFont="1" applyFill="1" applyBorder="1" applyAlignment="1">
      <alignment horizontal="center"/>
    </xf>
    <xf numFmtId="0" fontId="11" fillId="0" borderId="40" xfId="0" applyFont="1" applyBorder="1"/>
    <xf numFmtId="0" fontId="11" fillId="0" borderId="41" xfId="0" applyFont="1" applyBorder="1"/>
    <xf numFmtId="0" fontId="9" fillId="2" borderId="42" xfId="0" applyFont="1" applyFill="1" applyBorder="1" applyAlignment="1">
      <alignment horizontal="center"/>
    </xf>
    <xf numFmtId="0" fontId="11" fillId="0" borderId="8" xfId="0" applyFont="1" applyBorder="1"/>
    <xf numFmtId="0" fontId="11" fillId="0" borderId="4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7</xdr:row>
      <xdr:rowOff>0</xdr:rowOff>
    </xdr:from>
    <xdr:ext cx="1114425" cy="3524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68650" y="1079500"/>
          <a:ext cx="1114425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FF0000"/>
        </a:solidFill>
        <a:ln w="9525" cap="flat" cmpd="sng">
          <a:solidFill>
            <a:srgbClr val="59595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 fLocksWithSheet="0"/>
  </xdr:oneCellAnchor>
  <xdr:twoCellAnchor>
    <xdr:from>
      <xdr:col>0</xdr:col>
      <xdr:colOff>104913</xdr:colOff>
      <xdr:row>14</xdr:row>
      <xdr:rowOff>27610</xdr:rowOff>
    </xdr:from>
    <xdr:to>
      <xdr:col>8</xdr:col>
      <xdr:colOff>756478</xdr:colOff>
      <xdr:row>21</xdr:row>
      <xdr:rowOff>66261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4913" y="2390914"/>
          <a:ext cx="7272130" cy="14135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latin typeface="Calibri (Body)"/>
            </a:rPr>
            <a:t>Chuyển</a:t>
          </a:r>
          <a:r>
            <a:rPr lang="en-US" sz="3200" b="1" baseline="0"/>
            <a:t> đổi  </a:t>
          </a:r>
        </a:p>
        <a:p>
          <a:pPr algn="ctr"/>
          <a:r>
            <a:rPr lang="en-US" sz="4000" b="1">
              <a:solidFill>
                <a:srgbClr val="FF0000"/>
              </a:solidFill>
            </a:rPr>
            <a:t>VN2000- 3 degrees =&gt; Lat/Long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342900</xdr:colOff>
      <xdr:row>6</xdr:row>
      <xdr:rowOff>0</xdr:rowOff>
    </xdr:from>
    <xdr:ext cx="1114425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88788" y="3603788"/>
          <a:ext cx="1114425" cy="352425"/>
        </a:xfrm>
        <a:prstGeom prst="rightArrow">
          <a:avLst>
            <a:gd name="adj1" fmla="val 50000"/>
            <a:gd name="adj2" fmla="val 50000"/>
          </a:avLst>
        </a:prstGeom>
        <a:solidFill>
          <a:schemeClr val="lt1"/>
        </a:solidFill>
        <a:ln w="9525" cap="flat" cmpd="sng">
          <a:solidFill>
            <a:srgbClr val="59595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4"/>
  <sheetViews>
    <sheetView tabSelected="1" zoomScaleNormal="100" workbookViewId="0">
      <selection activeCell="H6" sqref="H6"/>
    </sheetView>
  </sheetViews>
  <sheetFormatPr defaultColWidth="12.625" defaultRowHeight="15" customHeight="1" x14ac:dyDescent="0.2"/>
  <cols>
    <col min="1" max="1" width="14.625" customWidth="1"/>
    <col min="2" max="2" width="10.25" customWidth="1"/>
    <col min="3" max="3" width="12.125" customWidth="1"/>
    <col min="4" max="4" width="11.125" customWidth="1"/>
    <col min="5" max="5" width="10" customWidth="1"/>
    <col min="6" max="6" width="2.5" customWidth="1"/>
    <col min="7" max="7" width="11" customWidth="1"/>
    <col min="8" max="8" width="15.125" customWidth="1"/>
    <col min="9" max="9" width="10.5" customWidth="1"/>
    <col min="10" max="10" width="13.125" customWidth="1"/>
    <col min="11" max="11" width="4.125" customWidth="1"/>
    <col min="12" max="12" width="24.75" customWidth="1"/>
    <col min="13" max="13" width="15.125" customWidth="1"/>
    <col min="14" max="18" width="10" customWidth="1"/>
  </cols>
  <sheetData>
    <row r="1" spans="1:13" ht="15.75" thickBot="1" x14ac:dyDescent="0.3">
      <c r="A1" s="102"/>
      <c r="B1" s="103"/>
      <c r="C1" s="103"/>
      <c r="D1" s="103"/>
      <c r="E1" s="103"/>
      <c r="F1" s="103"/>
      <c r="G1" s="103"/>
      <c r="H1" s="103"/>
      <c r="I1" s="104"/>
      <c r="M1" s="1"/>
    </row>
    <row r="2" spans="1:13" ht="24" customHeight="1" thickBot="1" x14ac:dyDescent="0.3">
      <c r="A2" s="105"/>
      <c r="B2" s="129" t="s">
        <v>170</v>
      </c>
      <c r="C2" s="132" t="s">
        <v>81</v>
      </c>
      <c r="D2" s="133"/>
      <c r="E2" s="106"/>
      <c r="F2" s="101"/>
      <c r="G2" s="117" t="s">
        <v>174</v>
      </c>
      <c r="H2" s="128">
        <f>VLOOKUP(C2,DSKTTRUC,2,FALSE)</f>
        <v>108.25</v>
      </c>
      <c r="I2" s="107"/>
      <c r="M2" s="1"/>
    </row>
    <row r="3" spans="1:13" ht="24" hidden="1" customHeight="1" thickBot="1" x14ac:dyDescent="0.3">
      <c r="A3" s="105"/>
      <c r="B3" s="122"/>
      <c r="C3" s="122"/>
      <c r="D3" s="122"/>
      <c r="E3" s="122"/>
      <c r="F3" s="122"/>
      <c r="G3" s="123" t="s">
        <v>171</v>
      </c>
      <c r="H3" s="127">
        <v>3</v>
      </c>
      <c r="I3" s="107"/>
      <c r="M3" s="1"/>
    </row>
    <row r="4" spans="1:13" ht="5.25" hidden="1" customHeight="1" x14ac:dyDescent="0.25">
      <c r="A4" s="105"/>
      <c r="B4" s="122"/>
      <c r="C4" s="118"/>
      <c r="D4" s="118"/>
      <c r="E4" s="119">
        <v>1</v>
      </c>
      <c r="F4" s="119"/>
      <c r="G4" s="122"/>
      <c r="H4" s="122"/>
      <c r="I4" s="107"/>
      <c r="M4" s="1"/>
    </row>
    <row r="5" spans="1:13" x14ac:dyDescent="0.25">
      <c r="A5" s="105"/>
      <c r="B5" s="119"/>
      <c r="C5" s="106"/>
      <c r="D5" s="106"/>
      <c r="E5" s="122"/>
      <c r="F5" s="122"/>
      <c r="G5" s="122"/>
      <c r="H5" s="122"/>
      <c r="I5" s="107"/>
      <c r="M5" s="1"/>
    </row>
    <row r="6" spans="1:13" ht="24" customHeight="1" x14ac:dyDescent="0.2">
      <c r="A6" s="105"/>
      <c r="B6" s="126" t="s">
        <v>1</v>
      </c>
      <c r="C6" s="120" t="s">
        <v>156</v>
      </c>
      <c r="D6" s="120"/>
      <c r="E6" s="122"/>
      <c r="F6" s="122"/>
      <c r="G6" s="126" t="s">
        <v>2</v>
      </c>
      <c r="H6" s="120" t="s">
        <v>175</v>
      </c>
      <c r="I6" s="109"/>
    </row>
    <row r="7" spans="1:13" ht="0.6" customHeight="1" x14ac:dyDescent="0.2">
      <c r="A7" s="105"/>
      <c r="B7" s="122"/>
      <c r="C7" s="122"/>
      <c r="D7" s="122"/>
      <c r="E7" s="122"/>
      <c r="F7" s="122"/>
      <c r="G7" s="122"/>
      <c r="H7" s="122"/>
      <c r="I7" s="107"/>
    </row>
    <row r="8" spans="1:13" ht="15" customHeight="1" x14ac:dyDescent="0.2">
      <c r="A8" s="134" t="s">
        <v>177</v>
      </c>
      <c r="B8" s="121" t="s">
        <v>8</v>
      </c>
      <c r="C8" s="125">
        <v>568262.924</v>
      </c>
      <c r="D8" s="136"/>
      <c r="E8" s="137"/>
      <c r="F8" s="122"/>
      <c r="G8" s="121" t="s">
        <v>173</v>
      </c>
      <c r="H8" s="100">
        <f>GEOCENTRIC_GEO!D23</f>
        <v>11.349358065695681</v>
      </c>
      <c r="I8" s="110" t="str">
        <f>TEXT(MOD(H8,360)/24,"[h]\°mm'ss\""")</f>
        <v>11°20'58"</v>
      </c>
      <c r="L8" s="131">
        <v>20.821669</v>
      </c>
      <c r="M8" s="110" t="str">
        <f>TEXT(MOD(L8,360)/24,"[h]\°mm'ss\""")</f>
        <v>20°49'18"</v>
      </c>
    </row>
    <row r="9" spans="1:13" x14ac:dyDescent="0.2">
      <c r="A9" s="135"/>
      <c r="B9" s="121" t="s">
        <v>10</v>
      </c>
      <c r="C9" s="125">
        <v>1255172.51</v>
      </c>
      <c r="D9" s="137"/>
      <c r="E9" s="137"/>
      <c r="F9" s="122"/>
      <c r="G9" s="121" t="s">
        <v>172</v>
      </c>
      <c r="H9" s="100">
        <f>GEOCENTRIC_GEO!D24</f>
        <v>108.87720114429756</v>
      </c>
      <c r="I9" s="110" t="str">
        <f>TEXT(MOD(H9,360)/24,"[h]\°mm'ss\""")</f>
        <v>108°52'38"</v>
      </c>
      <c r="L9" s="131">
        <v>108.68332700000001</v>
      </c>
      <c r="M9" s="110" t="str">
        <f>TEXT(MOD(L9,360)/24,"[h]\°mm'ss\""")</f>
        <v>108°41'00"</v>
      </c>
    </row>
    <row r="10" spans="1:13" ht="14.25" x14ac:dyDescent="0.2">
      <c r="A10" s="105"/>
      <c r="B10" s="111"/>
      <c r="C10" s="106"/>
      <c r="D10" s="106"/>
      <c r="E10" s="106"/>
      <c r="F10" s="106"/>
      <c r="G10" s="112"/>
      <c r="H10" s="106"/>
      <c r="I10" s="107"/>
    </row>
    <row r="11" spans="1:13" x14ac:dyDescent="0.25">
      <c r="A11" s="105"/>
      <c r="B11" s="106"/>
      <c r="C11" s="138" t="str">
        <f>HYPERLINK("https://www.google.com/maps/place/" &amp; TEXT(MOD(H8,360)/24,"[h]\°mm'ss\""") &amp; "N+" &amp; TEXT(MOD(H9,360)/24,"[h]\°mm'ss\""") &amp; "E/")</f>
        <v>https://www.google.com/maps/place/11°20'58"N+108°52'38"E/</v>
      </c>
      <c r="D11" s="138"/>
      <c r="E11" s="138"/>
      <c r="F11" s="138"/>
      <c r="G11" s="138"/>
      <c r="H11" s="138"/>
      <c r="I11" s="130" t="s">
        <v>176</v>
      </c>
    </row>
    <row r="12" spans="1:13" x14ac:dyDescent="0.25">
      <c r="A12" s="105"/>
      <c r="B12" s="108"/>
      <c r="C12" s="108"/>
      <c r="D12" s="108"/>
      <c r="E12" s="108"/>
      <c r="F12" s="108"/>
      <c r="G12" s="106"/>
      <c r="H12" s="106"/>
      <c r="I12" s="107"/>
    </row>
    <row r="13" spans="1:13" ht="21.95" customHeight="1" thickBot="1" x14ac:dyDescent="0.3">
      <c r="A13" s="113"/>
      <c r="B13" s="124" t="str">
        <f>HYPERLINK("http://lisp.vn", "Chỉnh sửa bởi AJS - www.lisp.vn")</f>
        <v>Chỉnh sửa bởi AJS - www.lisp.vn</v>
      </c>
      <c r="C13" s="114"/>
      <c r="D13" s="114"/>
      <c r="E13" s="115"/>
      <c r="F13" s="115"/>
      <c r="G13" s="114"/>
      <c r="H13" s="114"/>
      <c r="I13" s="116"/>
    </row>
    <row r="14" spans="1:13" x14ac:dyDescent="0.25">
      <c r="E14" s="4"/>
      <c r="F14" s="4"/>
      <c r="I14" s="99"/>
    </row>
    <row r="15" spans="1:13" x14ac:dyDescent="0.25">
      <c r="E15" s="4"/>
      <c r="F15" s="4"/>
    </row>
    <row r="16" spans="1:13" ht="15.75" customHeight="1" x14ac:dyDescent="0.25">
      <c r="H16" s="99"/>
    </row>
    <row r="17" spans="8:8" ht="15.75" customHeight="1" x14ac:dyDescent="0.25">
      <c r="H17" s="99"/>
    </row>
    <row r="18" spans="8:8" ht="15.75" customHeight="1" x14ac:dyDescent="0.2"/>
    <row r="19" spans="8:8" ht="15.75" customHeight="1" x14ac:dyDescent="0.2"/>
    <row r="20" spans="8:8" ht="15.75" customHeight="1" x14ac:dyDescent="0.2"/>
    <row r="21" spans="8:8" ht="15.75" customHeight="1" x14ac:dyDescent="0.2"/>
    <row r="22" spans="8:8" ht="15.75" customHeight="1" x14ac:dyDescent="0.2"/>
    <row r="23" spans="8:8" ht="15.75" customHeight="1" x14ac:dyDescent="0.2"/>
    <row r="24" spans="8:8" ht="15.75" customHeight="1" x14ac:dyDescent="0.2"/>
    <row r="25" spans="8:8" ht="15.75" customHeight="1" x14ac:dyDescent="0.2"/>
    <row r="26" spans="8:8" ht="15.75" customHeight="1" x14ac:dyDescent="0.2"/>
    <row r="27" spans="8:8" ht="15.75" customHeight="1" x14ac:dyDescent="0.2"/>
    <row r="28" spans="8:8" ht="15.75" customHeight="1" x14ac:dyDescent="0.2"/>
    <row r="29" spans="8:8" ht="15.75" customHeight="1" x14ac:dyDescent="0.2"/>
    <row r="30" spans="8:8" ht="15.75" customHeight="1" x14ac:dyDescent="0.2"/>
    <row r="31" spans="8:8" ht="15.75" customHeight="1" x14ac:dyDescent="0.2"/>
    <row r="32" spans="8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spans="13:13" ht="15.75" customHeight="1" x14ac:dyDescent="0.2"/>
    <row r="82" spans="13:13" ht="15.75" customHeight="1" x14ac:dyDescent="0.25">
      <c r="M82" s="1"/>
    </row>
    <row r="83" spans="13:13" ht="15.75" customHeight="1" x14ac:dyDescent="0.25">
      <c r="M83" s="1"/>
    </row>
    <row r="84" spans="13:13" ht="15.75" customHeight="1" x14ac:dyDescent="0.25">
      <c r="M84" s="1"/>
    </row>
    <row r="85" spans="13:13" ht="15.75" customHeight="1" x14ac:dyDescent="0.25">
      <c r="M85" s="1"/>
    </row>
    <row r="86" spans="13:13" ht="15.75" customHeight="1" x14ac:dyDescent="0.25">
      <c r="M86" s="1"/>
    </row>
    <row r="87" spans="13:13" ht="15.75" customHeight="1" x14ac:dyDescent="0.25">
      <c r="M87" s="1"/>
    </row>
    <row r="88" spans="13:13" ht="15.75" customHeight="1" x14ac:dyDescent="0.25">
      <c r="M88" s="1"/>
    </row>
    <row r="89" spans="13:13" ht="15.75" customHeight="1" x14ac:dyDescent="0.25">
      <c r="M89" s="1"/>
    </row>
    <row r="90" spans="13:13" ht="15.75" customHeight="1" x14ac:dyDescent="0.25">
      <c r="M90" s="1"/>
    </row>
    <row r="91" spans="13:13" ht="15.75" customHeight="1" x14ac:dyDescent="0.25">
      <c r="M91" s="1"/>
    </row>
    <row r="92" spans="13:13" ht="15.75" customHeight="1" x14ac:dyDescent="0.25">
      <c r="M92" s="1"/>
    </row>
    <row r="93" spans="13:13" ht="15.75" customHeight="1" x14ac:dyDescent="0.25">
      <c r="M93" s="1"/>
    </row>
    <row r="94" spans="13:13" ht="15.75" customHeight="1" x14ac:dyDescent="0.25">
      <c r="M94" s="1"/>
    </row>
    <row r="95" spans="13:13" ht="15.75" customHeight="1" x14ac:dyDescent="0.25">
      <c r="M95" s="1"/>
    </row>
    <row r="96" spans="13:13" ht="15.75" customHeight="1" x14ac:dyDescent="0.25">
      <c r="M96" s="1"/>
    </row>
    <row r="97" spans="13:13" ht="15.75" customHeight="1" x14ac:dyDescent="0.25">
      <c r="M97" s="1"/>
    </row>
    <row r="98" spans="13:13" ht="15.75" customHeight="1" x14ac:dyDescent="0.25">
      <c r="M98" s="1"/>
    </row>
    <row r="99" spans="13:13" ht="15.75" customHeight="1" x14ac:dyDescent="0.25">
      <c r="M99" s="1"/>
    </row>
    <row r="100" spans="13:13" ht="15.75" customHeight="1" x14ac:dyDescent="0.25">
      <c r="M100" s="1"/>
    </row>
    <row r="101" spans="13:13" ht="15.75" customHeight="1" x14ac:dyDescent="0.25">
      <c r="M101" s="1"/>
    </row>
    <row r="102" spans="13:13" ht="15.75" customHeight="1" x14ac:dyDescent="0.25">
      <c r="M102" s="1"/>
    </row>
    <row r="103" spans="13:13" ht="15.75" customHeight="1" x14ac:dyDescent="0.25">
      <c r="M103" s="1"/>
    </row>
    <row r="104" spans="13:13" ht="15.75" customHeight="1" x14ac:dyDescent="0.25">
      <c r="M104" s="1"/>
    </row>
    <row r="105" spans="13:13" ht="15.75" customHeight="1" x14ac:dyDescent="0.25">
      <c r="M105" s="1"/>
    </row>
    <row r="106" spans="13:13" ht="15.75" customHeight="1" x14ac:dyDescent="0.25">
      <c r="M106" s="1"/>
    </row>
    <row r="107" spans="13:13" ht="15.75" customHeight="1" x14ac:dyDescent="0.25">
      <c r="M107" s="1"/>
    </row>
    <row r="108" spans="13:13" ht="15.75" customHeight="1" x14ac:dyDescent="0.25">
      <c r="M108" s="1"/>
    </row>
    <row r="109" spans="13:13" ht="15.75" customHeight="1" x14ac:dyDescent="0.25">
      <c r="M109" s="1"/>
    </row>
    <row r="110" spans="13:13" ht="15.75" customHeight="1" x14ac:dyDescent="0.25">
      <c r="M110" s="1"/>
    </row>
    <row r="111" spans="13:13" ht="15.75" customHeight="1" x14ac:dyDescent="0.25">
      <c r="M111" s="1"/>
    </row>
    <row r="112" spans="13:13" ht="15.75" customHeight="1" x14ac:dyDescent="0.25">
      <c r="M112" s="1"/>
    </row>
    <row r="113" spans="13:13" ht="15.75" customHeight="1" x14ac:dyDescent="0.25">
      <c r="M113" s="1"/>
    </row>
    <row r="114" spans="13:13" ht="15.75" customHeight="1" x14ac:dyDescent="0.25">
      <c r="M114" s="1"/>
    </row>
    <row r="115" spans="13:13" ht="15.75" customHeight="1" x14ac:dyDescent="0.25">
      <c r="M115" s="1"/>
    </row>
    <row r="116" spans="13:13" ht="15.75" customHeight="1" x14ac:dyDescent="0.25">
      <c r="M116" s="1"/>
    </row>
    <row r="117" spans="13:13" ht="15.75" customHeight="1" x14ac:dyDescent="0.25">
      <c r="M117" s="1"/>
    </row>
    <row r="118" spans="13:13" ht="15.75" customHeight="1" x14ac:dyDescent="0.25">
      <c r="M118" s="1"/>
    </row>
    <row r="119" spans="13:13" ht="15.75" customHeight="1" x14ac:dyDescent="0.25">
      <c r="M119" s="1"/>
    </row>
    <row r="120" spans="13:13" ht="15.75" customHeight="1" x14ac:dyDescent="0.25">
      <c r="M120" s="1"/>
    </row>
    <row r="121" spans="13:13" ht="15.75" customHeight="1" x14ac:dyDescent="0.25">
      <c r="M121" s="1"/>
    </row>
    <row r="122" spans="13:13" ht="15.75" customHeight="1" x14ac:dyDescent="0.25">
      <c r="M122" s="1"/>
    </row>
    <row r="123" spans="13:13" ht="15.75" customHeight="1" x14ac:dyDescent="0.25">
      <c r="M123" s="1"/>
    </row>
    <row r="124" spans="13:13" ht="15.75" customHeight="1" x14ac:dyDescent="0.25">
      <c r="M124" s="1"/>
    </row>
    <row r="125" spans="13:13" ht="15.75" customHeight="1" x14ac:dyDescent="0.25">
      <c r="M125" s="1"/>
    </row>
    <row r="126" spans="13:13" ht="15.75" customHeight="1" x14ac:dyDescent="0.25">
      <c r="M126" s="1"/>
    </row>
    <row r="127" spans="13:13" ht="15.75" customHeight="1" x14ac:dyDescent="0.25">
      <c r="M127" s="1"/>
    </row>
    <row r="128" spans="13:13" ht="15.75" customHeight="1" x14ac:dyDescent="0.25">
      <c r="M128" s="1"/>
    </row>
    <row r="129" spans="13:13" ht="15.75" customHeight="1" x14ac:dyDescent="0.25">
      <c r="M129" s="1"/>
    </row>
    <row r="130" spans="13:13" ht="15.75" customHeight="1" x14ac:dyDescent="0.25">
      <c r="M130" s="1"/>
    </row>
    <row r="131" spans="13:13" ht="15.75" customHeight="1" x14ac:dyDescent="0.25">
      <c r="M131" s="1"/>
    </row>
    <row r="132" spans="13:13" ht="15.75" customHeight="1" x14ac:dyDescent="0.25">
      <c r="M132" s="1"/>
    </row>
    <row r="133" spans="13:13" ht="15.75" customHeight="1" x14ac:dyDescent="0.25">
      <c r="M133" s="1"/>
    </row>
    <row r="134" spans="13:13" ht="15.75" customHeight="1" x14ac:dyDescent="0.25">
      <c r="M134" s="1"/>
    </row>
    <row r="135" spans="13:13" ht="15.75" customHeight="1" x14ac:dyDescent="0.25">
      <c r="M135" s="1"/>
    </row>
    <row r="136" spans="13:13" ht="15.75" customHeight="1" x14ac:dyDescent="0.25">
      <c r="M136" s="1"/>
    </row>
    <row r="137" spans="13:13" ht="15.75" customHeight="1" x14ac:dyDescent="0.25">
      <c r="M137" s="1"/>
    </row>
    <row r="138" spans="13:13" ht="15.75" customHeight="1" x14ac:dyDescent="0.25">
      <c r="M138" s="1"/>
    </row>
    <row r="139" spans="13:13" ht="15.75" customHeight="1" x14ac:dyDescent="0.25">
      <c r="M139" s="1"/>
    </row>
    <row r="140" spans="13:13" ht="15.75" customHeight="1" x14ac:dyDescent="0.25">
      <c r="M140" s="1"/>
    </row>
    <row r="141" spans="13:13" ht="15.75" customHeight="1" x14ac:dyDescent="0.25">
      <c r="M141" s="1"/>
    </row>
    <row r="142" spans="13:13" ht="15.75" customHeight="1" x14ac:dyDescent="0.25">
      <c r="M142" s="1"/>
    </row>
    <row r="143" spans="13:13" ht="15.75" customHeight="1" x14ac:dyDescent="0.25">
      <c r="M143" s="1"/>
    </row>
    <row r="144" spans="13:13" ht="15.75" customHeight="1" x14ac:dyDescent="0.25">
      <c r="M144" s="1"/>
    </row>
    <row r="145" spans="13:13" ht="15.75" customHeight="1" x14ac:dyDescent="0.25">
      <c r="M145" s="1"/>
    </row>
    <row r="146" spans="13:13" ht="15.75" customHeight="1" x14ac:dyDescent="0.25">
      <c r="M146" s="1"/>
    </row>
    <row r="147" spans="13:13" ht="15.75" customHeight="1" x14ac:dyDescent="0.25">
      <c r="M147" s="1"/>
    </row>
    <row r="148" spans="13:13" ht="15.75" customHeight="1" x14ac:dyDescent="0.25">
      <c r="M148" s="1"/>
    </row>
    <row r="149" spans="13:13" ht="15.75" customHeight="1" x14ac:dyDescent="0.25">
      <c r="M149" s="1"/>
    </row>
    <row r="150" spans="13:13" ht="15.75" customHeight="1" x14ac:dyDescent="0.25">
      <c r="M150" s="1"/>
    </row>
    <row r="151" spans="13:13" ht="15.75" customHeight="1" x14ac:dyDescent="0.25">
      <c r="M151" s="1"/>
    </row>
    <row r="152" spans="13:13" ht="15.75" customHeight="1" x14ac:dyDescent="0.25">
      <c r="M152" s="1"/>
    </row>
    <row r="153" spans="13:13" ht="15.75" customHeight="1" x14ac:dyDescent="0.25">
      <c r="M153" s="1"/>
    </row>
    <row r="154" spans="13:13" ht="15.75" customHeight="1" x14ac:dyDescent="0.25">
      <c r="M154" s="1"/>
    </row>
    <row r="155" spans="13:13" ht="15.75" customHeight="1" x14ac:dyDescent="0.25">
      <c r="M155" s="1"/>
    </row>
    <row r="156" spans="13:13" ht="15.75" customHeight="1" x14ac:dyDescent="0.25">
      <c r="M156" s="1"/>
    </row>
    <row r="157" spans="13:13" ht="15.75" customHeight="1" x14ac:dyDescent="0.25">
      <c r="M157" s="1"/>
    </row>
    <row r="158" spans="13:13" ht="15.75" customHeight="1" x14ac:dyDescent="0.25">
      <c r="M158" s="1"/>
    </row>
    <row r="159" spans="13:13" ht="15.75" customHeight="1" x14ac:dyDescent="0.25">
      <c r="M159" s="1"/>
    </row>
    <row r="160" spans="13:13" ht="15.75" customHeight="1" x14ac:dyDescent="0.25">
      <c r="M160" s="1"/>
    </row>
    <row r="161" spans="13:13" ht="15.75" customHeight="1" x14ac:dyDescent="0.25">
      <c r="M161" s="1"/>
    </row>
    <row r="162" spans="13:13" ht="15.75" customHeight="1" x14ac:dyDescent="0.25">
      <c r="M162" s="1"/>
    </row>
    <row r="163" spans="13:13" ht="15.75" customHeight="1" x14ac:dyDescent="0.25">
      <c r="M163" s="1"/>
    </row>
    <row r="164" spans="13:13" ht="15.75" customHeight="1" x14ac:dyDescent="0.25">
      <c r="M164" s="1"/>
    </row>
    <row r="165" spans="13:13" ht="15.75" customHeight="1" x14ac:dyDescent="0.25">
      <c r="M165" s="1"/>
    </row>
    <row r="166" spans="13:13" ht="15.75" customHeight="1" x14ac:dyDescent="0.25">
      <c r="M166" s="1"/>
    </row>
    <row r="167" spans="13:13" ht="15.75" customHeight="1" x14ac:dyDescent="0.25">
      <c r="M167" s="1"/>
    </row>
    <row r="168" spans="13:13" ht="15.75" customHeight="1" x14ac:dyDescent="0.25">
      <c r="M168" s="1"/>
    </row>
    <row r="169" spans="13:13" ht="15.75" customHeight="1" x14ac:dyDescent="0.25">
      <c r="M169" s="1"/>
    </row>
    <row r="170" spans="13:13" ht="15.75" customHeight="1" x14ac:dyDescent="0.25">
      <c r="M170" s="1"/>
    </row>
    <row r="171" spans="13:13" ht="15.75" customHeight="1" x14ac:dyDescent="0.25">
      <c r="M171" s="1"/>
    </row>
    <row r="172" spans="13:13" ht="15.75" customHeight="1" x14ac:dyDescent="0.25">
      <c r="M172" s="1"/>
    </row>
    <row r="173" spans="13:13" ht="15.75" customHeight="1" x14ac:dyDescent="0.25">
      <c r="M173" s="1"/>
    </row>
    <row r="174" spans="13:13" ht="15.75" customHeight="1" x14ac:dyDescent="0.25">
      <c r="M174" s="1"/>
    </row>
    <row r="175" spans="13:13" ht="15.75" customHeight="1" x14ac:dyDescent="0.25">
      <c r="M175" s="1"/>
    </row>
    <row r="176" spans="13:13" ht="15.75" customHeight="1" x14ac:dyDescent="0.25">
      <c r="M176" s="1"/>
    </row>
    <row r="177" spans="13:13" ht="15.75" customHeight="1" x14ac:dyDescent="0.25">
      <c r="M177" s="1"/>
    </row>
    <row r="178" spans="13:13" ht="15.75" customHeight="1" x14ac:dyDescent="0.25">
      <c r="M178" s="1"/>
    </row>
    <row r="179" spans="13:13" ht="15.75" customHeight="1" x14ac:dyDescent="0.25">
      <c r="M179" s="1"/>
    </row>
    <row r="180" spans="13:13" ht="15.75" customHeight="1" x14ac:dyDescent="0.25">
      <c r="M180" s="1"/>
    </row>
    <row r="181" spans="13:13" ht="15.75" customHeight="1" x14ac:dyDescent="0.25">
      <c r="M181" s="1"/>
    </row>
    <row r="182" spans="13:13" ht="15.75" customHeight="1" x14ac:dyDescent="0.25">
      <c r="M182" s="1"/>
    </row>
    <row r="183" spans="13:13" ht="15.75" customHeight="1" x14ac:dyDescent="0.25">
      <c r="M183" s="1"/>
    </row>
    <row r="184" spans="13:13" ht="15.75" customHeight="1" x14ac:dyDescent="0.25">
      <c r="M184" s="1"/>
    </row>
    <row r="185" spans="13:13" ht="15.75" customHeight="1" x14ac:dyDescent="0.25">
      <c r="M185" s="1"/>
    </row>
    <row r="186" spans="13:13" ht="15.75" customHeight="1" x14ac:dyDescent="0.25">
      <c r="M186" s="1"/>
    </row>
    <row r="187" spans="13:13" ht="15.75" customHeight="1" x14ac:dyDescent="0.25">
      <c r="M187" s="1"/>
    </row>
    <row r="188" spans="13:13" ht="15.75" customHeight="1" x14ac:dyDescent="0.25">
      <c r="M188" s="1"/>
    </row>
    <row r="189" spans="13:13" ht="15.75" customHeight="1" x14ac:dyDescent="0.25">
      <c r="M189" s="1"/>
    </row>
    <row r="190" spans="13:13" ht="15.75" customHeight="1" x14ac:dyDescent="0.25">
      <c r="M190" s="1"/>
    </row>
    <row r="191" spans="13:13" ht="15.75" customHeight="1" x14ac:dyDescent="0.25">
      <c r="M191" s="1"/>
    </row>
    <row r="192" spans="13:13" ht="15.75" customHeight="1" x14ac:dyDescent="0.25">
      <c r="M192" s="1"/>
    </row>
    <row r="193" spans="13:13" ht="15.75" customHeight="1" x14ac:dyDescent="0.25">
      <c r="M193" s="1"/>
    </row>
    <row r="194" spans="13:13" ht="15.75" customHeight="1" x14ac:dyDescent="0.25">
      <c r="M194" s="1"/>
    </row>
    <row r="195" spans="13:13" ht="15.75" customHeight="1" x14ac:dyDescent="0.25">
      <c r="M195" s="1"/>
    </row>
    <row r="196" spans="13:13" ht="15.75" customHeight="1" x14ac:dyDescent="0.25">
      <c r="M196" s="1"/>
    </row>
    <row r="197" spans="13:13" ht="15.75" customHeight="1" x14ac:dyDescent="0.25">
      <c r="M197" s="1"/>
    </row>
    <row r="198" spans="13:13" ht="15.75" customHeight="1" x14ac:dyDescent="0.25">
      <c r="M198" s="1"/>
    </row>
    <row r="199" spans="13:13" ht="15.75" customHeight="1" x14ac:dyDescent="0.25">
      <c r="M199" s="1"/>
    </row>
    <row r="200" spans="13:13" ht="15.75" customHeight="1" x14ac:dyDescent="0.25">
      <c r="M200" s="1"/>
    </row>
    <row r="201" spans="13:13" ht="15.75" customHeight="1" x14ac:dyDescent="0.25">
      <c r="M201" s="1"/>
    </row>
    <row r="202" spans="13:13" ht="15.75" customHeight="1" x14ac:dyDescent="0.25">
      <c r="M202" s="1"/>
    </row>
    <row r="203" spans="13:13" ht="15.75" customHeight="1" x14ac:dyDescent="0.25">
      <c r="M203" s="1"/>
    </row>
    <row r="204" spans="13:13" ht="15.75" customHeight="1" x14ac:dyDescent="0.25">
      <c r="M204" s="1"/>
    </row>
    <row r="205" spans="13:13" ht="15.75" customHeight="1" x14ac:dyDescent="0.25">
      <c r="M205" s="1"/>
    </row>
    <row r="206" spans="13:13" ht="15.75" customHeight="1" x14ac:dyDescent="0.25">
      <c r="M206" s="1"/>
    </row>
    <row r="207" spans="13:13" ht="15.75" customHeight="1" x14ac:dyDescent="0.25">
      <c r="M207" s="1"/>
    </row>
    <row r="208" spans="13:13" ht="15.75" customHeight="1" x14ac:dyDescent="0.25">
      <c r="M208" s="1"/>
    </row>
    <row r="209" spans="13:13" ht="15.75" customHeight="1" x14ac:dyDescent="0.25">
      <c r="M209" s="1"/>
    </row>
    <row r="210" spans="13:13" ht="15.75" customHeight="1" x14ac:dyDescent="0.25">
      <c r="M210" s="1"/>
    </row>
    <row r="211" spans="13:13" ht="15.75" customHeight="1" x14ac:dyDescent="0.25">
      <c r="M211" s="1"/>
    </row>
    <row r="212" spans="13:13" ht="15.75" customHeight="1" x14ac:dyDescent="0.25">
      <c r="M212" s="1"/>
    </row>
    <row r="213" spans="13:13" ht="15.75" customHeight="1" x14ac:dyDescent="0.25">
      <c r="M213" s="1"/>
    </row>
    <row r="214" spans="13:13" ht="15.75" customHeight="1" x14ac:dyDescent="0.25">
      <c r="M214" s="1"/>
    </row>
    <row r="215" spans="13:13" ht="15.75" customHeight="1" x14ac:dyDescent="0.25">
      <c r="M215" s="1"/>
    </row>
    <row r="216" spans="13:13" ht="15.75" customHeight="1" x14ac:dyDescent="0.25">
      <c r="M216" s="1"/>
    </row>
    <row r="217" spans="13:13" ht="15.75" customHeight="1" x14ac:dyDescent="0.25">
      <c r="M217" s="1"/>
    </row>
    <row r="218" spans="13:13" ht="15.75" customHeight="1" x14ac:dyDescent="0.25">
      <c r="M218" s="1"/>
    </row>
    <row r="219" spans="13:13" ht="15.75" customHeight="1" x14ac:dyDescent="0.25">
      <c r="M219" s="1"/>
    </row>
    <row r="220" spans="13:13" ht="15.75" customHeight="1" x14ac:dyDescent="0.25">
      <c r="M220" s="1"/>
    </row>
    <row r="221" spans="13:13" ht="15.75" customHeight="1" x14ac:dyDescent="0.25">
      <c r="M221" s="1"/>
    </row>
    <row r="222" spans="13:13" ht="15.75" customHeight="1" x14ac:dyDescent="0.25">
      <c r="M222" s="1"/>
    </row>
    <row r="223" spans="13:13" ht="15.75" customHeight="1" x14ac:dyDescent="0.25">
      <c r="M223" s="1"/>
    </row>
    <row r="224" spans="13:13" ht="15.75" customHeight="1" x14ac:dyDescent="0.25">
      <c r="M224" s="1"/>
    </row>
    <row r="225" spans="13:13" ht="15.75" customHeight="1" x14ac:dyDescent="0.25">
      <c r="M225" s="1"/>
    </row>
    <row r="226" spans="13:13" ht="15.75" customHeight="1" x14ac:dyDescent="0.25">
      <c r="M226" s="1"/>
    </row>
    <row r="227" spans="13:13" ht="15.75" customHeight="1" x14ac:dyDescent="0.25">
      <c r="M227" s="1"/>
    </row>
    <row r="228" spans="13:13" ht="15.75" customHeight="1" x14ac:dyDescent="0.25">
      <c r="M228" s="1"/>
    </row>
    <row r="229" spans="13:13" ht="15.75" customHeight="1" x14ac:dyDescent="0.25">
      <c r="M229" s="1"/>
    </row>
    <row r="230" spans="13:13" ht="15.75" customHeight="1" x14ac:dyDescent="0.25">
      <c r="M230" s="1"/>
    </row>
    <row r="231" spans="13:13" ht="15.75" customHeight="1" x14ac:dyDescent="0.25">
      <c r="M231" s="1"/>
    </row>
    <row r="232" spans="13:13" ht="15.75" customHeight="1" x14ac:dyDescent="0.25">
      <c r="M232" s="1"/>
    </row>
    <row r="233" spans="13:13" ht="15.75" customHeight="1" x14ac:dyDescent="0.25">
      <c r="M233" s="1"/>
    </row>
    <row r="234" spans="13:13" ht="15.75" customHeight="1" x14ac:dyDescent="0.25">
      <c r="M234" s="1"/>
    </row>
    <row r="235" spans="13:13" ht="15.75" customHeight="1" x14ac:dyDescent="0.25">
      <c r="M235" s="1"/>
    </row>
    <row r="236" spans="13:13" ht="15.75" customHeight="1" x14ac:dyDescent="0.25">
      <c r="M236" s="1"/>
    </row>
    <row r="237" spans="13:13" ht="15.75" customHeight="1" x14ac:dyDescent="0.25">
      <c r="M237" s="1"/>
    </row>
    <row r="238" spans="13:13" ht="15.75" customHeight="1" x14ac:dyDescent="0.25">
      <c r="M238" s="1"/>
    </row>
    <row r="239" spans="13:13" ht="15.75" customHeight="1" x14ac:dyDescent="0.25">
      <c r="M239" s="1"/>
    </row>
    <row r="240" spans="13:13" ht="15.75" customHeight="1" x14ac:dyDescent="0.25">
      <c r="M240" s="1"/>
    </row>
    <row r="241" spans="13:13" ht="15.75" customHeight="1" x14ac:dyDescent="0.25">
      <c r="M241" s="1"/>
    </row>
    <row r="242" spans="13:13" ht="15.75" customHeight="1" x14ac:dyDescent="0.25">
      <c r="M242" s="1"/>
    </row>
    <row r="243" spans="13:13" ht="15.75" customHeight="1" x14ac:dyDescent="0.25">
      <c r="M243" s="1"/>
    </row>
    <row r="244" spans="13:13" ht="15.75" customHeight="1" x14ac:dyDescent="0.25">
      <c r="M244" s="1"/>
    </row>
    <row r="245" spans="13:13" ht="15.75" customHeight="1" x14ac:dyDescent="0.25">
      <c r="M245" s="1"/>
    </row>
    <row r="246" spans="13:13" ht="15.75" customHeight="1" x14ac:dyDescent="0.25">
      <c r="M246" s="1"/>
    </row>
    <row r="247" spans="13:13" ht="15.75" customHeight="1" x14ac:dyDescent="0.25">
      <c r="M247" s="1"/>
    </row>
    <row r="248" spans="13:13" ht="15.75" customHeight="1" x14ac:dyDescent="0.25">
      <c r="M248" s="1"/>
    </row>
    <row r="249" spans="13:13" ht="15.75" customHeight="1" x14ac:dyDescent="0.25">
      <c r="M249" s="1"/>
    </row>
    <row r="250" spans="13:13" ht="15.75" customHeight="1" x14ac:dyDescent="0.25">
      <c r="M250" s="1"/>
    </row>
    <row r="251" spans="13:13" ht="15.75" customHeight="1" x14ac:dyDescent="0.25">
      <c r="M251" s="1"/>
    </row>
    <row r="252" spans="13:13" ht="15.75" customHeight="1" x14ac:dyDescent="0.25">
      <c r="M252" s="1"/>
    </row>
    <row r="253" spans="13:13" ht="15.75" customHeight="1" x14ac:dyDescent="0.25">
      <c r="M253" s="1"/>
    </row>
    <row r="254" spans="13:13" ht="15.75" customHeight="1" x14ac:dyDescent="0.25">
      <c r="M254" s="1"/>
    </row>
    <row r="255" spans="13:13" ht="15.75" customHeight="1" x14ac:dyDescent="0.25">
      <c r="M255" s="1"/>
    </row>
    <row r="256" spans="13:13" ht="15.75" customHeight="1" x14ac:dyDescent="0.25">
      <c r="M256" s="1"/>
    </row>
    <row r="257" spans="13:13" ht="15.75" customHeight="1" x14ac:dyDescent="0.25">
      <c r="M257" s="1"/>
    </row>
    <row r="258" spans="13:13" ht="15.75" customHeight="1" x14ac:dyDescent="0.25">
      <c r="M258" s="1"/>
    </row>
    <row r="259" spans="13:13" ht="15.75" customHeight="1" x14ac:dyDescent="0.25">
      <c r="M259" s="1"/>
    </row>
    <row r="260" spans="13:13" ht="15.75" customHeight="1" x14ac:dyDescent="0.25">
      <c r="M260" s="1"/>
    </row>
    <row r="261" spans="13:13" ht="15.75" customHeight="1" x14ac:dyDescent="0.25">
      <c r="M261" s="1"/>
    </row>
    <row r="262" spans="13:13" ht="15.75" customHeight="1" x14ac:dyDescent="0.25">
      <c r="M262" s="1"/>
    </row>
    <row r="263" spans="13:13" ht="15.75" customHeight="1" x14ac:dyDescent="0.25">
      <c r="M263" s="1"/>
    </row>
    <row r="264" spans="13:13" ht="15.75" customHeight="1" x14ac:dyDescent="0.25">
      <c r="M264" s="1"/>
    </row>
    <row r="265" spans="13:13" ht="15.75" customHeight="1" x14ac:dyDescent="0.25">
      <c r="M265" s="1"/>
    </row>
    <row r="266" spans="13:13" ht="15.75" customHeight="1" x14ac:dyDescent="0.25">
      <c r="M266" s="1"/>
    </row>
    <row r="267" spans="13:13" ht="15.75" customHeight="1" x14ac:dyDescent="0.25">
      <c r="M267" s="1"/>
    </row>
    <row r="268" spans="13:13" ht="15.75" customHeight="1" x14ac:dyDescent="0.25">
      <c r="M268" s="1"/>
    </row>
    <row r="269" spans="13:13" ht="15.75" customHeight="1" x14ac:dyDescent="0.25">
      <c r="M269" s="1"/>
    </row>
    <row r="270" spans="13:13" ht="15.75" customHeight="1" x14ac:dyDescent="0.25">
      <c r="M270" s="1"/>
    </row>
    <row r="271" spans="13:13" ht="15.75" customHeight="1" x14ac:dyDescent="0.25">
      <c r="M271" s="1"/>
    </row>
    <row r="272" spans="13:13" ht="15.75" customHeight="1" x14ac:dyDescent="0.25">
      <c r="M272" s="1"/>
    </row>
    <row r="273" spans="13:13" ht="15.75" customHeight="1" x14ac:dyDescent="0.25">
      <c r="M273" s="1"/>
    </row>
    <row r="274" spans="13:13" ht="15.75" customHeight="1" x14ac:dyDescent="0.25">
      <c r="M274" s="1"/>
    </row>
    <row r="275" spans="13:13" ht="15.75" customHeight="1" x14ac:dyDescent="0.25">
      <c r="M275" s="1"/>
    </row>
    <row r="276" spans="13:13" ht="15.75" customHeight="1" x14ac:dyDescent="0.25">
      <c r="M276" s="1"/>
    </row>
    <row r="277" spans="13:13" ht="15.75" customHeight="1" x14ac:dyDescent="0.25">
      <c r="M277" s="1"/>
    </row>
    <row r="278" spans="13:13" ht="15.75" customHeight="1" x14ac:dyDescent="0.25">
      <c r="M278" s="1"/>
    </row>
    <row r="279" spans="13:13" ht="15.75" customHeight="1" x14ac:dyDescent="0.25">
      <c r="M279" s="1"/>
    </row>
    <row r="280" spans="13:13" ht="15.75" customHeight="1" x14ac:dyDescent="0.25">
      <c r="M280" s="1"/>
    </row>
    <row r="281" spans="13:13" ht="15.75" customHeight="1" x14ac:dyDescent="0.25">
      <c r="M281" s="1"/>
    </row>
    <row r="282" spans="13:13" ht="15.75" customHeight="1" x14ac:dyDescent="0.25">
      <c r="M282" s="1"/>
    </row>
    <row r="283" spans="13:13" ht="15.75" customHeight="1" x14ac:dyDescent="0.25">
      <c r="M283" s="1"/>
    </row>
    <row r="284" spans="13:13" ht="15.75" customHeight="1" x14ac:dyDescent="0.25">
      <c r="M284" s="1"/>
    </row>
    <row r="285" spans="13:13" ht="15.75" customHeight="1" x14ac:dyDescent="0.25">
      <c r="M285" s="1"/>
    </row>
    <row r="286" spans="13:13" ht="15.75" customHeight="1" x14ac:dyDescent="0.25">
      <c r="M286" s="1"/>
    </row>
    <row r="287" spans="13:13" ht="15.75" customHeight="1" x14ac:dyDescent="0.25">
      <c r="M287" s="1"/>
    </row>
    <row r="288" spans="13:13" ht="15.75" customHeight="1" x14ac:dyDescent="0.25">
      <c r="M288" s="1"/>
    </row>
    <row r="289" spans="13:13" ht="15.75" customHeight="1" x14ac:dyDescent="0.25">
      <c r="M289" s="1"/>
    </row>
    <row r="290" spans="13:13" ht="15.75" customHeight="1" x14ac:dyDescent="0.25">
      <c r="M290" s="1"/>
    </row>
    <row r="291" spans="13:13" ht="15.75" customHeight="1" x14ac:dyDescent="0.25">
      <c r="M291" s="1"/>
    </row>
    <row r="292" spans="13:13" ht="15.75" customHeight="1" x14ac:dyDescent="0.25">
      <c r="M292" s="1"/>
    </row>
    <row r="293" spans="13:13" ht="15.75" customHeight="1" x14ac:dyDescent="0.25">
      <c r="M293" s="1"/>
    </row>
    <row r="294" spans="13:13" ht="15.75" customHeight="1" x14ac:dyDescent="0.25">
      <c r="M294" s="1"/>
    </row>
    <row r="295" spans="13:13" ht="15.75" customHeight="1" x14ac:dyDescent="0.25">
      <c r="M295" s="1"/>
    </row>
    <row r="296" spans="13:13" ht="15.75" customHeight="1" x14ac:dyDescent="0.25">
      <c r="M296" s="1"/>
    </row>
    <row r="297" spans="13:13" ht="15.75" customHeight="1" x14ac:dyDescent="0.25">
      <c r="M297" s="1"/>
    </row>
    <row r="298" spans="13:13" ht="15.75" customHeight="1" x14ac:dyDescent="0.25">
      <c r="M298" s="1"/>
    </row>
    <row r="299" spans="13:13" ht="15.75" customHeight="1" x14ac:dyDescent="0.25">
      <c r="M299" s="1"/>
    </row>
    <row r="300" spans="13:13" ht="15.75" customHeight="1" x14ac:dyDescent="0.25">
      <c r="M300" s="1"/>
    </row>
    <row r="301" spans="13:13" ht="15.75" customHeight="1" x14ac:dyDescent="0.25">
      <c r="M301" s="1"/>
    </row>
    <row r="302" spans="13:13" ht="15.75" customHeight="1" x14ac:dyDescent="0.25">
      <c r="M302" s="1"/>
    </row>
    <row r="303" spans="13:13" ht="15.75" customHeight="1" x14ac:dyDescent="0.25">
      <c r="M303" s="1"/>
    </row>
    <row r="304" spans="13:13" ht="15.75" customHeight="1" x14ac:dyDescent="0.25">
      <c r="M304" s="1"/>
    </row>
    <row r="305" spans="13:13" ht="15.75" customHeight="1" x14ac:dyDescent="0.25">
      <c r="M305" s="1"/>
    </row>
    <row r="306" spans="13:13" ht="15.75" customHeight="1" x14ac:dyDescent="0.25">
      <c r="M306" s="1"/>
    </row>
    <row r="307" spans="13:13" ht="15.75" customHeight="1" x14ac:dyDescent="0.25">
      <c r="M307" s="1"/>
    </row>
    <row r="308" spans="13:13" ht="15.75" customHeight="1" x14ac:dyDescent="0.25">
      <c r="M308" s="1"/>
    </row>
    <row r="309" spans="13:13" ht="15.75" customHeight="1" x14ac:dyDescent="0.25">
      <c r="M309" s="1"/>
    </row>
    <row r="310" spans="13:13" ht="15.75" customHeight="1" x14ac:dyDescent="0.25">
      <c r="M310" s="1"/>
    </row>
    <row r="311" spans="13:13" ht="15.75" customHeight="1" x14ac:dyDescent="0.25">
      <c r="M311" s="1"/>
    </row>
    <row r="312" spans="13:13" ht="15.75" customHeight="1" x14ac:dyDescent="0.25">
      <c r="M312" s="1"/>
    </row>
    <row r="313" spans="13:13" ht="15.75" customHeight="1" x14ac:dyDescent="0.25">
      <c r="M313" s="1"/>
    </row>
    <row r="314" spans="13:13" ht="15.75" customHeight="1" x14ac:dyDescent="0.25">
      <c r="M314" s="1"/>
    </row>
    <row r="315" spans="13:13" ht="15.75" customHeight="1" x14ac:dyDescent="0.25">
      <c r="M315" s="1"/>
    </row>
    <row r="316" spans="13:13" ht="15.75" customHeight="1" x14ac:dyDescent="0.25">
      <c r="M316" s="1"/>
    </row>
    <row r="317" spans="13:13" ht="15.75" customHeight="1" x14ac:dyDescent="0.25">
      <c r="M317" s="1"/>
    </row>
    <row r="318" spans="13:13" ht="15.75" customHeight="1" x14ac:dyDescent="0.25">
      <c r="M318" s="1"/>
    </row>
    <row r="319" spans="13:13" ht="15.75" customHeight="1" x14ac:dyDescent="0.25">
      <c r="M319" s="1"/>
    </row>
    <row r="320" spans="13:13" ht="15.75" customHeight="1" x14ac:dyDescent="0.25">
      <c r="M320" s="1"/>
    </row>
    <row r="321" spans="13:13" ht="15.75" customHeight="1" x14ac:dyDescent="0.25">
      <c r="M321" s="1"/>
    </row>
    <row r="322" spans="13:13" ht="15.75" customHeight="1" x14ac:dyDescent="0.25">
      <c r="M322" s="1"/>
    </row>
    <row r="323" spans="13:13" ht="15.75" customHeight="1" x14ac:dyDescent="0.25">
      <c r="M323" s="1"/>
    </row>
    <row r="324" spans="13:13" ht="15.75" customHeight="1" x14ac:dyDescent="0.25">
      <c r="M324" s="1"/>
    </row>
    <row r="325" spans="13:13" ht="15.75" customHeight="1" x14ac:dyDescent="0.25">
      <c r="M325" s="1"/>
    </row>
    <row r="326" spans="13:13" ht="15.75" customHeight="1" x14ac:dyDescent="0.25">
      <c r="M326" s="1"/>
    </row>
    <row r="327" spans="13:13" ht="15.75" customHeight="1" x14ac:dyDescent="0.25">
      <c r="M327" s="1"/>
    </row>
    <row r="328" spans="13:13" ht="15.75" customHeight="1" x14ac:dyDescent="0.25">
      <c r="M328" s="1"/>
    </row>
    <row r="329" spans="13:13" ht="15.75" customHeight="1" x14ac:dyDescent="0.25">
      <c r="M329" s="1"/>
    </row>
    <row r="330" spans="13:13" ht="15.75" customHeight="1" x14ac:dyDescent="0.25">
      <c r="M330" s="1"/>
    </row>
    <row r="331" spans="13:13" ht="15.75" customHeight="1" x14ac:dyDescent="0.25">
      <c r="M331" s="1"/>
    </row>
    <row r="332" spans="13:13" ht="15.75" customHeight="1" x14ac:dyDescent="0.25">
      <c r="M332" s="1"/>
    </row>
    <row r="333" spans="13:13" ht="15.75" customHeight="1" x14ac:dyDescent="0.25">
      <c r="M333" s="1"/>
    </row>
    <row r="334" spans="13:13" ht="15.75" customHeight="1" x14ac:dyDescent="0.25">
      <c r="M334" s="1"/>
    </row>
    <row r="335" spans="13:13" ht="15.75" customHeight="1" x14ac:dyDescent="0.25">
      <c r="M335" s="1"/>
    </row>
    <row r="336" spans="13:13" ht="15.75" customHeight="1" x14ac:dyDescent="0.25">
      <c r="M336" s="1"/>
    </row>
    <row r="337" spans="13:13" ht="15.75" customHeight="1" x14ac:dyDescent="0.25">
      <c r="M337" s="1"/>
    </row>
    <row r="338" spans="13:13" ht="15.75" customHeight="1" x14ac:dyDescent="0.25">
      <c r="M338" s="1"/>
    </row>
    <row r="339" spans="13:13" ht="15.75" customHeight="1" x14ac:dyDescent="0.25">
      <c r="M339" s="1"/>
    </row>
    <row r="340" spans="13:13" ht="15.75" customHeight="1" x14ac:dyDescent="0.25">
      <c r="M340" s="1"/>
    </row>
    <row r="341" spans="13:13" ht="15.75" customHeight="1" x14ac:dyDescent="0.25">
      <c r="M341" s="1"/>
    </row>
    <row r="342" spans="13:13" ht="15.75" customHeight="1" x14ac:dyDescent="0.25">
      <c r="M342" s="1"/>
    </row>
    <row r="343" spans="13:13" ht="15.75" customHeight="1" x14ac:dyDescent="0.25">
      <c r="M343" s="1"/>
    </row>
    <row r="344" spans="13:13" ht="15.75" customHeight="1" x14ac:dyDescent="0.25">
      <c r="M344" s="1"/>
    </row>
    <row r="345" spans="13:13" ht="15.75" customHeight="1" x14ac:dyDescent="0.25">
      <c r="M345" s="1"/>
    </row>
    <row r="346" spans="13:13" ht="15.75" customHeight="1" x14ac:dyDescent="0.25">
      <c r="M346" s="1"/>
    </row>
    <row r="347" spans="13:13" ht="15.75" customHeight="1" x14ac:dyDescent="0.25">
      <c r="M347" s="1"/>
    </row>
    <row r="348" spans="13:13" ht="15.75" customHeight="1" x14ac:dyDescent="0.25">
      <c r="M348" s="1"/>
    </row>
    <row r="349" spans="13:13" ht="15.75" customHeight="1" x14ac:dyDescent="0.25">
      <c r="M349" s="1"/>
    </row>
    <row r="350" spans="13:13" ht="15.75" customHeight="1" x14ac:dyDescent="0.25">
      <c r="M350" s="1"/>
    </row>
    <row r="351" spans="13:13" ht="15.75" customHeight="1" x14ac:dyDescent="0.25">
      <c r="M351" s="1"/>
    </row>
    <row r="352" spans="13:13" ht="15.75" customHeight="1" x14ac:dyDescent="0.25">
      <c r="M352" s="1"/>
    </row>
    <row r="353" spans="13:13" ht="15.75" customHeight="1" x14ac:dyDescent="0.25">
      <c r="M353" s="1"/>
    </row>
    <row r="354" spans="13:13" ht="15.75" customHeight="1" x14ac:dyDescent="0.25">
      <c r="M354" s="1"/>
    </row>
    <row r="355" spans="13:13" ht="15.75" customHeight="1" x14ac:dyDescent="0.25">
      <c r="M355" s="1"/>
    </row>
    <row r="356" spans="13:13" ht="15.75" customHeight="1" x14ac:dyDescent="0.25">
      <c r="M356" s="1"/>
    </row>
    <row r="357" spans="13:13" ht="15.75" customHeight="1" x14ac:dyDescent="0.25">
      <c r="M357" s="1"/>
    </row>
    <row r="358" spans="13:13" ht="15.75" customHeight="1" x14ac:dyDescent="0.25">
      <c r="M358" s="1"/>
    </row>
    <row r="359" spans="13:13" ht="15.75" customHeight="1" x14ac:dyDescent="0.25">
      <c r="M359" s="1"/>
    </row>
    <row r="360" spans="13:13" ht="15.75" customHeight="1" x14ac:dyDescent="0.25">
      <c r="M360" s="1"/>
    </row>
    <row r="361" spans="13:13" ht="15.75" customHeight="1" x14ac:dyDescent="0.25">
      <c r="M361" s="1"/>
    </row>
    <row r="362" spans="13:13" ht="15.75" customHeight="1" x14ac:dyDescent="0.25">
      <c r="M362" s="1"/>
    </row>
    <row r="363" spans="13:13" ht="15.75" customHeight="1" x14ac:dyDescent="0.25">
      <c r="M363" s="1"/>
    </row>
    <row r="364" spans="13:13" ht="15.75" customHeight="1" x14ac:dyDescent="0.25">
      <c r="M364" s="1"/>
    </row>
    <row r="365" spans="13:13" ht="15.75" customHeight="1" x14ac:dyDescent="0.25">
      <c r="M365" s="1"/>
    </row>
    <row r="366" spans="13:13" ht="15.75" customHeight="1" x14ac:dyDescent="0.25">
      <c r="M366" s="1"/>
    </row>
    <row r="367" spans="13:13" ht="15.75" customHeight="1" x14ac:dyDescent="0.25">
      <c r="M367" s="1"/>
    </row>
    <row r="368" spans="13:13" ht="15.75" customHeight="1" x14ac:dyDescent="0.25">
      <c r="M368" s="1"/>
    </row>
    <row r="369" spans="13:13" ht="15.75" customHeight="1" x14ac:dyDescent="0.25">
      <c r="M369" s="1"/>
    </row>
    <row r="370" spans="13:13" ht="15.75" customHeight="1" x14ac:dyDescent="0.25">
      <c r="M370" s="1"/>
    </row>
    <row r="371" spans="13:13" ht="15.75" customHeight="1" x14ac:dyDescent="0.25">
      <c r="M371" s="1"/>
    </row>
    <row r="372" spans="13:13" ht="15.75" customHeight="1" x14ac:dyDescent="0.25">
      <c r="M372" s="1"/>
    </row>
    <row r="373" spans="13:13" ht="15.75" customHeight="1" x14ac:dyDescent="0.25">
      <c r="M373" s="1"/>
    </row>
    <row r="374" spans="13:13" ht="15.75" customHeight="1" x14ac:dyDescent="0.25">
      <c r="M374" s="1"/>
    </row>
    <row r="375" spans="13:13" ht="15.75" customHeight="1" x14ac:dyDescent="0.25">
      <c r="M375" s="1"/>
    </row>
    <row r="376" spans="13:13" ht="15.75" customHeight="1" x14ac:dyDescent="0.25">
      <c r="M376" s="1"/>
    </row>
    <row r="377" spans="13:13" ht="15.75" customHeight="1" x14ac:dyDescent="0.25">
      <c r="M377" s="1"/>
    </row>
    <row r="378" spans="13:13" ht="15.75" customHeight="1" x14ac:dyDescent="0.25">
      <c r="M378" s="1"/>
    </row>
    <row r="379" spans="13:13" ht="15.75" customHeight="1" x14ac:dyDescent="0.25">
      <c r="M379" s="1"/>
    </row>
    <row r="380" spans="13:13" ht="15.75" customHeight="1" x14ac:dyDescent="0.25">
      <c r="M380" s="1"/>
    </row>
    <row r="381" spans="13:13" ht="15.75" customHeight="1" x14ac:dyDescent="0.25">
      <c r="M381" s="1"/>
    </row>
    <row r="382" spans="13:13" ht="15.75" customHeight="1" x14ac:dyDescent="0.25">
      <c r="M382" s="1"/>
    </row>
    <row r="383" spans="13:13" ht="15.75" customHeight="1" x14ac:dyDescent="0.25">
      <c r="M383" s="1"/>
    </row>
    <row r="384" spans="13:13" ht="15.75" customHeight="1" x14ac:dyDescent="0.25">
      <c r="M384" s="1"/>
    </row>
    <row r="385" spans="13:13" ht="15.75" customHeight="1" x14ac:dyDescent="0.25">
      <c r="M385" s="1"/>
    </row>
    <row r="386" spans="13:13" ht="15.75" customHeight="1" x14ac:dyDescent="0.25">
      <c r="M386" s="1"/>
    </row>
    <row r="387" spans="13:13" ht="15.75" customHeight="1" x14ac:dyDescent="0.25">
      <c r="M387" s="1"/>
    </row>
    <row r="388" spans="13:13" ht="15.75" customHeight="1" x14ac:dyDescent="0.25">
      <c r="M388" s="1"/>
    </row>
    <row r="389" spans="13:13" ht="15.75" customHeight="1" x14ac:dyDescent="0.25">
      <c r="M389" s="1"/>
    </row>
    <row r="390" spans="13:13" ht="15.75" customHeight="1" x14ac:dyDescent="0.25">
      <c r="M390" s="1"/>
    </row>
    <row r="391" spans="13:13" ht="15.75" customHeight="1" x14ac:dyDescent="0.25">
      <c r="M391" s="1"/>
    </row>
    <row r="392" spans="13:13" ht="15.75" customHeight="1" x14ac:dyDescent="0.25">
      <c r="M392" s="1"/>
    </row>
    <row r="393" spans="13:13" ht="15.75" customHeight="1" x14ac:dyDescent="0.25">
      <c r="M393" s="1"/>
    </row>
    <row r="394" spans="13:13" ht="15.75" customHeight="1" x14ac:dyDescent="0.25">
      <c r="M394" s="1"/>
    </row>
    <row r="395" spans="13:13" ht="15.75" customHeight="1" x14ac:dyDescent="0.25">
      <c r="M395" s="1"/>
    </row>
    <row r="396" spans="13:13" ht="15.75" customHeight="1" x14ac:dyDescent="0.25">
      <c r="M396" s="1"/>
    </row>
    <row r="397" spans="13:13" ht="15.75" customHeight="1" x14ac:dyDescent="0.25">
      <c r="M397" s="1"/>
    </row>
    <row r="398" spans="13:13" ht="15.75" customHeight="1" x14ac:dyDescent="0.25">
      <c r="M398" s="1"/>
    </row>
    <row r="399" spans="13:13" ht="15.75" customHeight="1" x14ac:dyDescent="0.25">
      <c r="M399" s="1"/>
    </row>
    <row r="400" spans="13:13" ht="15.75" customHeight="1" x14ac:dyDescent="0.25">
      <c r="M400" s="1"/>
    </row>
    <row r="401" spans="13:13" ht="15.75" customHeight="1" x14ac:dyDescent="0.25">
      <c r="M401" s="1"/>
    </row>
    <row r="402" spans="13:13" ht="15.75" customHeight="1" x14ac:dyDescent="0.25">
      <c r="M402" s="1"/>
    </row>
    <row r="403" spans="13:13" ht="15.75" customHeight="1" x14ac:dyDescent="0.25">
      <c r="M403" s="1"/>
    </row>
    <row r="404" spans="13:13" ht="15.75" customHeight="1" x14ac:dyDescent="0.25">
      <c r="M404" s="1"/>
    </row>
    <row r="405" spans="13:13" ht="15.75" customHeight="1" x14ac:dyDescent="0.25">
      <c r="M405" s="1"/>
    </row>
    <row r="406" spans="13:13" ht="15.75" customHeight="1" x14ac:dyDescent="0.25">
      <c r="M406" s="1"/>
    </row>
    <row r="407" spans="13:13" ht="15.75" customHeight="1" x14ac:dyDescent="0.25">
      <c r="M407" s="1"/>
    </row>
    <row r="408" spans="13:13" ht="15.75" customHeight="1" x14ac:dyDescent="0.25">
      <c r="M408" s="1"/>
    </row>
    <row r="409" spans="13:13" ht="15.75" customHeight="1" x14ac:dyDescent="0.25">
      <c r="M409" s="1"/>
    </row>
    <row r="410" spans="13:13" ht="15.75" customHeight="1" x14ac:dyDescent="0.25">
      <c r="M410" s="1"/>
    </row>
    <row r="411" spans="13:13" ht="15.75" customHeight="1" x14ac:dyDescent="0.25">
      <c r="M411" s="1"/>
    </row>
    <row r="412" spans="13:13" ht="15.75" customHeight="1" x14ac:dyDescent="0.25">
      <c r="M412" s="1"/>
    </row>
    <row r="413" spans="13:13" ht="15.75" customHeight="1" x14ac:dyDescent="0.25">
      <c r="M413" s="1"/>
    </row>
    <row r="414" spans="13:13" ht="15.75" customHeight="1" x14ac:dyDescent="0.25">
      <c r="M414" s="1"/>
    </row>
    <row r="415" spans="13:13" ht="15.75" customHeight="1" x14ac:dyDescent="0.25">
      <c r="M415" s="1"/>
    </row>
    <row r="416" spans="13:13" ht="15.75" customHeight="1" x14ac:dyDescent="0.25">
      <c r="M416" s="1"/>
    </row>
    <row r="417" spans="13:13" ht="15.75" customHeight="1" x14ac:dyDescent="0.25">
      <c r="M417" s="1"/>
    </row>
    <row r="418" spans="13:13" ht="15.75" customHeight="1" x14ac:dyDescent="0.25">
      <c r="M418" s="1"/>
    </row>
    <row r="419" spans="13:13" ht="15.75" customHeight="1" x14ac:dyDescent="0.25">
      <c r="M419" s="1"/>
    </row>
    <row r="420" spans="13:13" ht="15.75" customHeight="1" x14ac:dyDescent="0.25">
      <c r="M420" s="1"/>
    </row>
    <row r="421" spans="13:13" ht="15.75" customHeight="1" x14ac:dyDescent="0.25">
      <c r="M421" s="1"/>
    </row>
    <row r="422" spans="13:13" ht="15.75" customHeight="1" x14ac:dyDescent="0.25">
      <c r="M422" s="1"/>
    </row>
    <row r="423" spans="13:13" ht="15.75" customHeight="1" x14ac:dyDescent="0.25">
      <c r="M423" s="1"/>
    </row>
    <row r="424" spans="13:13" ht="15.75" customHeight="1" x14ac:dyDescent="0.25">
      <c r="M424" s="1"/>
    </row>
    <row r="425" spans="13:13" ht="15.75" customHeight="1" x14ac:dyDescent="0.25">
      <c r="M425" s="1"/>
    </row>
    <row r="426" spans="13:13" ht="15.75" customHeight="1" x14ac:dyDescent="0.25">
      <c r="M426" s="1"/>
    </row>
    <row r="427" spans="13:13" ht="15.75" customHeight="1" x14ac:dyDescent="0.25">
      <c r="M427" s="1"/>
    </row>
    <row r="428" spans="13:13" ht="15.75" customHeight="1" x14ac:dyDescent="0.25">
      <c r="M428" s="1"/>
    </row>
    <row r="429" spans="13:13" ht="15.75" customHeight="1" x14ac:dyDescent="0.25">
      <c r="M429" s="1"/>
    </row>
    <row r="430" spans="13:13" ht="15.75" customHeight="1" x14ac:dyDescent="0.25">
      <c r="M430" s="1"/>
    </row>
    <row r="431" spans="13:13" ht="15.75" customHeight="1" x14ac:dyDescent="0.25">
      <c r="M431" s="1"/>
    </row>
    <row r="432" spans="13:13" ht="15.75" customHeight="1" x14ac:dyDescent="0.25">
      <c r="M432" s="1"/>
    </row>
    <row r="433" spans="13:13" ht="15.75" customHeight="1" x14ac:dyDescent="0.25">
      <c r="M433" s="1"/>
    </row>
    <row r="434" spans="13:13" ht="15.75" customHeight="1" x14ac:dyDescent="0.25">
      <c r="M434" s="1"/>
    </row>
    <row r="435" spans="13:13" ht="15.75" customHeight="1" x14ac:dyDescent="0.25">
      <c r="M435" s="1"/>
    </row>
    <row r="436" spans="13:13" ht="15.75" customHeight="1" x14ac:dyDescent="0.25">
      <c r="M436" s="1"/>
    </row>
    <row r="437" spans="13:13" ht="15.75" customHeight="1" x14ac:dyDescent="0.25">
      <c r="M437" s="1"/>
    </row>
    <row r="438" spans="13:13" ht="15.75" customHeight="1" x14ac:dyDescent="0.25">
      <c r="M438" s="1"/>
    </row>
    <row r="439" spans="13:13" ht="15.75" customHeight="1" x14ac:dyDescent="0.25">
      <c r="M439" s="1"/>
    </row>
    <row r="440" spans="13:13" ht="15.75" customHeight="1" x14ac:dyDescent="0.25">
      <c r="M440" s="1"/>
    </row>
    <row r="441" spans="13:13" ht="15.75" customHeight="1" x14ac:dyDescent="0.25">
      <c r="M441" s="1"/>
    </row>
    <row r="442" spans="13:13" ht="15.75" customHeight="1" x14ac:dyDescent="0.25">
      <c r="M442" s="1"/>
    </row>
    <row r="443" spans="13:13" ht="15.75" customHeight="1" x14ac:dyDescent="0.25">
      <c r="M443" s="1"/>
    </row>
    <row r="444" spans="13:13" ht="15.75" customHeight="1" x14ac:dyDescent="0.25">
      <c r="M444" s="1"/>
    </row>
    <row r="445" spans="13:13" ht="15.75" customHeight="1" x14ac:dyDescent="0.25">
      <c r="M445" s="1"/>
    </row>
    <row r="446" spans="13:13" ht="15.75" customHeight="1" x14ac:dyDescent="0.25">
      <c r="M446" s="1"/>
    </row>
    <row r="447" spans="13:13" ht="15.75" customHeight="1" x14ac:dyDescent="0.25">
      <c r="M447" s="1"/>
    </row>
    <row r="448" spans="13:13" ht="15.75" customHeight="1" x14ac:dyDescent="0.25">
      <c r="M448" s="1"/>
    </row>
    <row r="449" spans="13:13" ht="15.75" customHeight="1" x14ac:dyDescent="0.25">
      <c r="M449" s="1"/>
    </row>
    <row r="450" spans="13:13" ht="15.75" customHeight="1" x14ac:dyDescent="0.25">
      <c r="M450" s="1"/>
    </row>
    <row r="451" spans="13:13" ht="15.75" customHeight="1" x14ac:dyDescent="0.25">
      <c r="M451" s="1"/>
    </row>
    <row r="452" spans="13:13" ht="15.75" customHeight="1" x14ac:dyDescent="0.25">
      <c r="M452" s="1"/>
    </row>
    <row r="453" spans="13:13" ht="15.75" customHeight="1" x14ac:dyDescent="0.25">
      <c r="M453" s="1"/>
    </row>
    <row r="454" spans="13:13" ht="15.75" customHeight="1" x14ac:dyDescent="0.25">
      <c r="M454" s="1"/>
    </row>
    <row r="455" spans="13:13" ht="15.75" customHeight="1" x14ac:dyDescent="0.25">
      <c r="M455" s="1"/>
    </row>
    <row r="456" spans="13:13" ht="15.75" customHeight="1" x14ac:dyDescent="0.25">
      <c r="M456" s="1"/>
    </row>
    <row r="457" spans="13:13" ht="15.75" customHeight="1" x14ac:dyDescent="0.25">
      <c r="M457" s="1"/>
    </row>
    <row r="458" spans="13:13" ht="15.75" customHeight="1" x14ac:dyDescent="0.25">
      <c r="M458" s="1"/>
    </row>
    <row r="459" spans="13:13" ht="15.75" customHeight="1" x14ac:dyDescent="0.25">
      <c r="M459" s="1"/>
    </row>
    <row r="460" spans="13:13" ht="15.75" customHeight="1" x14ac:dyDescent="0.25">
      <c r="M460" s="1"/>
    </row>
    <row r="461" spans="13:13" ht="15.75" customHeight="1" x14ac:dyDescent="0.25">
      <c r="M461" s="1"/>
    </row>
    <row r="462" spans="13:13" ht="15.75" customHeight="1" x14ac:dyDescent="0.25">
      <c r="M462" s="1"/>
    </row>
    <row r="463" spans="13:13" ht="15.75" customHeight="1" x14ac:dyDescent="0.25">
      <c r="M463" s="1"/>
    </row>
    <row r="464" spans="13:13" ht="15.75" customHeight="1" x14ac:dyDescent="0.25">
      <c r="M464" s="1"/>
    </row>
    <row r="465" spans="13:13" ht="15.75" customHeight="1" x14ac:dyDescent="0.25">
      <c r="M465" s="1"/>
    </row>
    <row r="466" spans="13:13" ht="15.75" customHeight="1" x14ac:dyDescent="0.25">
      <c r="M466" s="1"/>
    </row>
    <row r="467" spans="13:13" ht="15.75" customHeight="1" x14ac:dyDescent="0.25">
      <c r="M467" s="1"/>
    </row>
    <row r="468" spans="13:13" ht="15.75" customHeight="1" x14ac:dyDescent="0.25">
      <c r="M468" s="1"/>
    </row>
    <row r="469" spans="13:13" ht="15.75" customHeight="1" x14ac:dyDescent="0.25">
      <c r="M469" s="1"/>
    </row>
    <row r="470" spans="13:13" ht="15.75" customHeight="1" x14ac:dyDescent="0.25">
      <c r="M470" s="1"/>
    </row>
    <row r="471" spans="13:13" ht="15.75" customHeight="1" x14ac:dyDescent="0.25">
      <c r="M471" s="1"/>
    </row>
    <row r="472" spans="13:13" ht="15.75" customHeight="1" x14ac:dyDescent="0.25">
      <c r="M472" s="1"/>
    </row>
    <row r="473" spans="13:13" ht="15.75" customHeight="1" x14ac:dyDescent="0.25">
      <c r="M473" s="1"/>
    </row>
    <row r="474" spans="13:13" ht="15.75" customHeight="1" x14ac:dyDescent="0.25">
      <c r="M474" s="1"/>
    </row>
    <row r="475" spans="13:13" ht="15.75" customHeight="1" x14ac:dyDescent="0.25">
      <c r="M475" s="1"/>
    </row>
    <row r="476" spans="13:13" ht="15.75" customHeight="1" x14ac:dyDescent="0.25">
      <c r="M476" s="1"/>
    </row>
    <row r="477" spans="13:13" ht="15.75" customHeight="1" x14ac:dyDescent="0.25">
      <c r="M477" s="1"/>
    </row>
    <row r="478" spans="13:13" ht="15.75" customHeight="1" x14ac:dyDescent="0.25">
      <c r="M478" s="1"/>
    </row>
    <row r="479" spans="13:13" ht="15.75" customHeight="1" x14ac:dyDescent="0.25">
      <c r="M479" s="1"/>
    </row>
    <row r="480" spans="13:13" ht="15.75" customHeight="1" x14ac:dyDescent="0.25">
      <c r="M480" s="1"/>
    </row>
    <row r="481" spans="13:13" ht="15.75" customHeight="1" x14ac:dyDescent="0.25">
      <c r="M481" s="1"/>
    </row>
    <row r="482" spans="13:13" ht="15.75" customHeight="1" x14ac:dyDescent="0.25">
      <c r="M482" s="1"/>
    </row>
    <row r="483" spans="13:13" ht="15.75" customHeight="1" x14ac:dyDescent="0.25">
      <c r="M483" s="1"/>
    </row>
    <row r="484" spans="13:13" ht="15.75" customHeight="1" x14ac:dyDescent="0.25">
      <c r="M484" s="1"/>
    </row>
    <row r="485" spans="13:13" ht="15.75" customHeight="1" x14ac:dyDescent="0.25">
      <c r="M485" s="1"/>
    </row>
    <row r="486" spans="13:13" ht="15.75" customHeight="1" x14ac:dyDescent="0.25">
      <c r="M486" s="1"/>
    </row>
    <row r="487" spans="13:13" ht="15.75" customHeight="1" x14ac:dyDescent="0.25">
      <c r="M487" s="1"/>
    </row>
    <row r="488" spans="13:13" ht="15.75" customHeight="1" x14ac:dyDescent="0.25">
      <c r="M488" s="1"/>
    </row>
    <row r="489" spans="13:13" ht="15.75" customHeight="1" x14ac:dyDescent="0.25">
      <c r="M489" s="1"/>
    </row>
    <row r="490" spans="13:13" ht="15.75" customHeight="1" x14ac:dyDescent="0.25">
      <c r="M490" s="1"/>
    </row>
    <row r="491" spans="13:13" ht="15.75" customHeight="1" x14ac:dyDescent="0.25">
      <c r="M491" s="1"/>
    </row>
    <row r="492" spans="13:13" ht="15.75" customHeight="1" x14ac:dyDescent="0.25">
      <c r="M492" s="1"/>
    </row>
    <row r="493" spans="13:13" ht="15.75" customHeight="1" x14ac:dyDescent="0.25">
      <c r="M493" s="1"/>
    </row>
    <row r="494" spans="13:13" ht="15.75" customHeight="1" x14ac:dyDescent="0.25">
      <c r="M494" s="1"/>
    </row>
    <row r="495" spans="13:13" ht="15.75" customHeight="1" x14ac:dyDescent="0.25">
      <c r="M495" s="1"/>
    </row>
    <row r="496" spans="13:13" ht="15.75" customHeight="1" x14ac:dyDescent="0.25">
      <c r="M496" s="1"/>
    </row>
    <row r="497" spans="13:13" ht="15.75" customHeight="1" x14ac:dyDescent="0.25">
      <c r="M497" s="1"/>
    </row>
    <row r="498" spans="13:13" ht="15.75" customHeight="1" x14ac:dyDescent="0.25">
      <c r="M498" s="1"/>
    </row>
    <row r="499" spans="13:13" ht="15.75" customHeight="1" x14ac:dyDescent="0.25">
      <c r="M499" s="1"/>
    </row>
    <row r="500" spans="13:13" ht="15.75" customHeight="1" x14ac:dyDescent="0.25">
      <c r="M500" s="1"/>
    </row>
    <row r="501" spans="13:13" ht="15.75" customHeight="1" x14ac:dyDescent="0.25">
      <c r="M501" s="1"/>
    </row>
    <row r="502" spans="13:13" ht="15.75" customHeight="1" x14ac:dyDescent="0.25">
      <c r="M502" s="1"/>
    </row>
    <row r="503" spans="13:13" ht="15.75" customHeight="1" x14ac:dyDescent="0.25">
      <c r="M503" s="1"/>
    </row>
    <row r="504" spans="13:13" ht="15.75" customHeight="1" x14ac:dyDescent="0.25">
      <c r="M504" s="1"/>
    </row>
    <row r="505" spans="13:13" ht="15.75" customHeight="1" x14ac:dyDescent="0.25">
      <c r="M505" s="1"/>
    </row>
    <row r="506" spans="13:13" ht="15.75" customHeight="1" x14ac:dyDescent="0.25">
      <c r="M506" s="1"/>
    </row>
    <row r="507" spans="13:13" ht="15.75" customHeight="1" x14ac:dyDescent="0.25">
      <c r="M507" s="1"/>
    </row>
    <row r="508" spans="13:13" ht="15.75" customHeight="1" x14ac:dyDescent="0.25">
      <c r="M508" s="1"/>
    </row>
    <row r="509" spans="13:13" ht="15.75" customHeight="1" x14ac:dyDescent="0.25">
      <c r="M509" s="1"/>
    </row>
    <row r="510" spans="13:13" ht="15.75" customHeight="1" x14ac:dyDescent="0.25">
      <c r="M510" s="1"/>
    </row>
    <row r="511" spans="13:13" ht="15.75" customHeight="1" x14ac:dyDescent="0.25">
      <c r="M511" s="1"/>
    </row>
    <row r="512" spans="13:13" ht="15.75" customHeight="1" x14ac:dyDescent="0.25">
      <c r="M512" s="1"/>
    </row>
    <row r="513" spans="13:13" ht="15.75" customHeight="1" x14ac:dyDescent="0.25">
      <c r="M513" s="1"/>
    </row>
    <row r="514" spans="13:13" ht="15.75" customHeight="1" x14ac:dyDescent="0.25">
      <c r="M514" s="1"/>
    </row>
    <row r="515" spans="13:13" ht="15.75" customHeight="1" x14ac:dyDescent="0.25">
      <c r="M515" s="1"/>
    </row>
    <row r="516" spans="13:13" ht="15.75" customHeight="1" x14ac:dyDescent="0.25">
      <c r="M516" s="1"/>
    </row>
    <row r="517" spans="13:13" ht="15.75" customHeight="1" x14ac:dyDescent="0.25">
      <c r="M517" s="1"/>
    </row>
    <row r="518" spans="13:13" ht="15.75" customHeight="1" x14ac:dyDescent="0.25">
      <c r="M518" s="1"/>
    </row>
    <row r="519" spans="13:13" ht="15.75" customHeight="1" x14ac:dyDescent="0.25">
      <c r="M519" s="1"/>
    </row>
    <row r="520" spans="13:13" ht="15.75" customHeight="1" x14ac:dyDescent="0.25">
      <c r="M520" s="1"/>
    </row>
    <row r="521" spans="13:13" ht="15.75" customHeight="1" x14ac:dyDescent="0.25">
      <c r="M521" s="1"/>
    </row>
    <row r="522" spans="13:13" ht="15.75" customHeight="1" x14ac:dyDescent="0.25">
      <c r="M522" s="1"/>
    </row>
    <row r="523" spans="13:13" ht="15.75" customHeight="1" x14ac:dyDescent="0.25">
      <c r="M523" s="1"/>
    </row>
    <row r="524" spans="13:13" ht="15.75" customHeight="1" x14ac:dyDescent="0.25">
      <c r="M524" s="1"/>
    </row>
    <row r="525" spans="13:13" ht="15.75" customHeight="1" x14ac:dyDescent="0.25">
      <c r="M525" s="1"/>
    </row>
    <row r="526" spans="13:13" ht="15.75" customHeight="1" x14ac:dyDescent="0.25">
      <c r="M526" s="1"/>
    </row>
    <row r="527" spans="13:13" ht="15.75" customHeight="1" x14ac:dyDescent="0.25">
      <c r="M527" s="1"/>
    </row>
    <row r="528" spans="13:13" ht="15.75" customHeight="1" x14ac:dyDescent="0.25">
      <c r="M528" s="1"/>
    </row>
    <row r="529" spans="13:13" ht="15.75" customHeight="1" x14ac:dyDescent="0.25">
      <c r="M529" s="1"/>
    </row>
    <row r="530" spans="13:13" ht="15.75" customHeight="1" x14ac:dyDescent="0.25">
      <c r="M530" s="1"/>
    </row>
    <row r="531" spans="13:13" ht="15.75" customHeight="1" x14ac:dyDescent="0.25">
      <c r="M531" s="1"/>
    </row>
    <row r="532" spans="13:13" ht="15.75" customHeight="1" x14ac:dyDescent="0.25">
      <c r="M532" s="1"/>
    </row>
    <row r="533" spans="13:13" ht="15.75" customHeight="1" x14ac:dyDescent="0.25">
      <c r="M533" s="1"/>
    </row>
    <row r="534" spans="13:13" ht="15.75" customHeight="1" x14ac:dyDescent="0.25">
      <c r="M534" s="1"/>
    </row>
    <row r="535" spans="13:13" ht="15.75" customHeight="1" x14ac:dyDescent="0.25">
      <c r="M535" s="1"/>
    </row>
    <row r="536" spans="13:13" ht="15.75" customHeight="1" x14ac:dyDescent="0.25">
      <c r="M536" s="1"/>
    </row>
    <row r="537" spans="13:13" ht="15.75" customHeight="1" x14ac:dyDescent="0.25">
      <c r="M537" s="1"/>
    </row>
    <row r="538" spans="13:13" ht="15.75" customHeight="1" x14ac:dyDescent="0.25">
      <c r="M538" s="1"/>
    </row>
    <row r="539" spans="13:13" ht="15.75" customHeight="1" x14ac:dyDescent="0.25">
      <c r="M539" s="1"/>
    </row>
    <row r="540" spans="13:13" ht="15.75" customHeight="1" x14ac:dyDescent="0.25">
      <c r="M540" s="1"/>
    </row>
    <row r="541" spans="13:13" ht="15.75" customHeight="1" x14ac:dyDescent="0.25">
      <c r="M541" s="1"/>
    </row>
    <row r="542" spans="13:13" ht="15.75" customHeight="1" x14ac:dyDescent="0.25">
      <c r="M542" s="1"/>
    </row>
    <row r="543" spans="13:13" ht="15.75" customHeight="1" x14ac:dyDescent="0.25">
      <c r="M543" s="1"/>
    </row>
    <row r="544" spans="13:13" ht="15.75" customHeight="1" x14ac:dyDescent="0.25">
      <c r="M544" s="1"/>
    </row>
    <row r="545" spans="13:13" ht="15.75" customHeight="1" x14ac:dyDescent="0.25">
      <c r="M545" s="1"/>
    </row>
    <row r="546" spans="13:13" ht="15.75" customHeight="1" x14ac:dyDescent="0.25">
      <c r="M546" s="1"/>
    </row>
    <row r="547" spans="13:13" ht="15.75" customHeight="1" x14ac:dyDescent="0.25">
      <c r="M547" s="1"/>
    </row>
    <row r="548" spans="13:13" ht="15.75" customHeight="1" x14ac:dyDescent="0.25">
      <c r="M548" s="1"/>
    </row>
    <row r="549" spans="13:13" ht="15.75" customHeight="1" x14ac:dyDescent="0.25">
      <c r="M549" s="1"/>
    </row>
    <row r="550" spans="13:13" ht="15.75" customHeight="1" x14ac:dyDescent="0.25">
      <c r="M550" s="1"/>
    </row>
    <row r="551" spans="13:13" ht="15.75" customHeight="1" x14ac:dyDescent="0.25">
      <c r="M551" s="1"/>
    </row>
    <row r="552" spans="13:13" ht="15.75" customHeight="1" x14ac:dyDescent="0.25">
      <c r="M552" s="1"/>
    </row>
    <row r="553" spans="13:13" ht="15.75" customHeight="1" x14ac:dyDescent="0.25">
      <c r="M553" s="1"/>
    </row>
    <row r="554" spans="13:13" ht="15.75" customHeight="1" x14ac:dyDescent="0.25">
      <c r="M554" s="1"/>
    </row>
    <row r="555" spans="13:13" ht="15.75" customHeight="1" x14ac:dyDescent="0.25">
      <c r="M555" s="1"/>
    </row>
    <row r="556" spans="13:13" ht="15.75" customHeight="1" x14ac:dyDescent="0.25">
      <c r="M556" s="1"/>
    </row>
    <row r="557" spans="13:13" ht="15.75" customHeight="1" x14ac:dyDescent="0.25">
      <c r="M557" s="1"/>
    </row>
    <row r="558" spans="13:13" ht="15.75" customHeight="1" x14ac:dyDescent="0.25">
      <c r="M558" s="1"/>
    </row>
    <row r="559" spans="13:13" ht="15.75" customHeight="1" x14ac:dyDescent="0.25">
      <c r="M559" s="1"/>
    </row>
    <row r="560" spans="13:13" ht="15.75" customHeight="1" x14ac:dyDescent="0.25">
      <c r="M560" s="1"/>
    </row>
    <row r="561" spans="13:13" ht="15.75" customHeight="1" x14ac:dyDescent="0.25">
      <c r="M561" s="1"/>
    </row>
    <row r="562" spans="13:13" ht="15.75" customHeight="1" x14ac:dyDescent="0.25">
      <c r="M562" s="1"/>
    </row>
    <row r="563" spans="13:13" ht="15.75" customHeight="1" x14ac:dyDescent="0.25">
      <c r="M563" s="1"/>
    </row>
    <row r="564" spans="13:13" ht="15.75" customHeight="1" x14ac:dyDescent="0.25">
      <c r="M564" s="1"/>
    </row>
    <row r="565" spans="13:13" ht="15.75" customHeight="1" x14ac:dyDescent="0.25">
      <c r="M565" s="1"/>
    </row>
    <row r="566" spans="13:13" ht="15.75" customHeight="1" x14ac:dyDescent="0.25">
      <c r="M566" s="1"/>
    </row>
    <row r="567" spans="13:13" ht="15.75" customHeight="1" x14ac:dyDescent="0.25">
      <c r="M567" s="1"/>
    </row>
    <row r="568" spans="13:13" ht="15.75" customHeight="1" x14ac:dyDescent="0.25">
      <c r="M568" s="1"/>
    </row>
    <row r="569" spans="13:13" ht="15.75" customHeight="1" x14ac:dyDescent="0.25">
      <c r="M569" s="1"/>
    </row>
    <row r="570" spans="13:13" ht="15.75" customHeight="1" x14ac:dyDescent="0.25">
      <c r="M570" s="1"/>
    </row>
    <row r="571" spans="13:13" ht="15.75" customHeight="1" x14ac:dyDescent="0.25">
      <c r="M571" s="1"/>
    </row>
    <row r="572" spans="13:13" ht="15.75" customHeight="1" x14ac:dyDescent="0.25">
      <c r="M572" s="1"/>
    </row>
    <row r="573" spans="13:13" ht="15.75" customHeight="1" x14ac:dyDescent="0.25">
      <c r="M573" s="1"/>
    </row>
    <row r="574" spans="13:13" ht="15.75" customHeight="1" x14ac:dyDescent="0.25">
      <c r="M574" s="1"/>
    </row>
    <row r="575" spans="13:13" ht="15.75" customHeight="1" x14ac:dyDescent="0.25">
      <c r="M575" s="1"/>
    </row>
    <row r="576" spans="13:13" ht="15.75" customHeight="1" x14ac:dyDescent="0.25">
      <c r="M576" s="1"/>
    </row>
    <row r="577" spans="13:13" ht="15.75" customHeight="1" x14ac:dyDescent="0.25">
      <c r="M577" s="1"/>
    </row>
    <row r="578" spans="13:13" ht="15.75" customHeight="1" x14ac:dyDescent="0.25">
      <c r="M578" s="1"/>
    </row>
    <row r="579" spans="13:13" ht="15.75" customHeight="1" x14ac:dyDescent="0.25">
      <c r="M579" s="1"/>
    </row>
    <row r="580" spans="13:13" ht="15.75" customHeight="1" x14ac:dyDescent="0.25">
      <c r="M580" s="1"/>
    </row>
    <row r="581" spans="13:13" ht="15.75" customHeight="1" x14ac:dyDescent="0.25">
      <c r="M581" s="1"/>
    </row>
    <row r="582" spans="13:13" ht="15.75" customHeight="1" x14ac:dyDescent="0.25">
      <c r="M582" s="1"/>
    </row>
    <row r="583" spans="13:13" ht="15.75" customHeight="1" x14ac:dyDescent="0.25">
      <c r="M583" s="1"/>
    </row>
    <row r="584" spans="13:13" ht="15.75" customHeight="1" x14ac:dyDescent="0.25">
      <c r="M584" s="1"/>
    </row>
    <row r="585" spans="13:13" ht="15.75" customHeight="1" x14ac:dyDescent="0.25">
      <c r="M585" s="1"/>
    </row>
    <row r="586" spans="13:13" ht="15.75" customHeight="1" x14ac:dyDescent="0.25">
      <c r="M586" s="1"/>
    </row>
    <row r="587" spans="13:13" ht="15.75" customHeight="1" x14ac:dyDescent="0.25">
      <c r="M587" s="1"/>
    </row>
    <row r="588" spans="13:13" ht="15.75" customHeight="1" x14ac:dyDescent="0.25">
      <c r="M588" s="1"/>
    </row>
    <row r="589" spans="13:13" ht="15.75" customHeight="1" x14ac:dyDescent="0.25">
      <c r="M589" s="1"/>
    </row>
    <row r="590" spans="13:13" ht="15.75" customHeight="1" x14ac:dyDescent="0.25">
      <c r="M590" s="1"/>
    </row>
    <row r="591" spans="13:13" ht="15.75" customHeight="1" x14ac:dyDescent="0.25">
      <c r="M591" s="1"/>
    </row>
    <row r="592" spans="13:13" ht="15.75" customHeight="1" x14ac:dyDescent="0.25">
      <c r="M592" s="1"/>
    </row>
    <row r="593" spans="13:13" ht="15.75" customHeight="1" x14ac:dyDescent="0.25">
      <c r="M593" s="1"/>
    </row>
    <row r="594" spans="13:13" ht="15.75" customHeight="1" x14ac:dyDescent="0.25">
      <c r="M594" s="1"/>
    </row>
    <row r="595" spans="13:13" ht="15.75" customHeight="1" x14ac:dyDescent="0.25">
      <c r="M595" s="1"/>
    </row>
    <row r="596" spans="13:13" ht="15.75" customHeight="1" x14ac:dyDescent="0.25">
      <c r="M596" s="1"/>
    </row>
    <row r="597" spans="13:13" ht="15.75" customHeight="1" x14ac:dyDescent="0.25">
      <c r="M597" s="1"/>
    </row>
    <row r="598" spans="13:13" ht="15.75" customHeight="1" x14ac:dyDescent="0.25">
      <c r="M598" s="1"/>
    </row>
    <row r="599" spans="13:13" ht="15.75" customHeight="1" x14ac:dyDescent="0.25">
      <c r="M599" s="1"/>
    </row>
    <row r="600" spans="13:13" ht="15.75" customHeight="1" x14ac:dyDescent="0.25">
      <c r="M600" s="1"/>
    </row>
    <row r="601" spans="13:13" ht="15.75" customHeight="1" x14ac:dyDescent="0.25">
      <c r="M601" s="1"/>
    </row>
    <row r="602" spans="13:13" ht="15.75" customHeight="1" x14ac:dyDescent="0.25">
      <c r="M602" s="1"/>
    </row>
    <row r="603" spans="13:13" ht="15.75" customHeight="1" x14ac:dyDescent="0.25">
      <c r="M603" s="1"/>
    </row>
    <row r="604" spans="13:13" ht="15.75" customHeight="1" x14ac:dyDescent="0.25">
      <c r="M604" s="1"/>
    </row>
    <row r="605" spans="13:13" ht="15.75" customHeight="1" x14ac:dyDescent="0.25">
      <c r="M605" s="1"/>
    </row>
    <row r="606" spans="13:13" ht="15.75" customHeight="1" x14ac:dyDescent="0.25">
      <c r="M606" s="1"/>
    </row>
    <row r="607" spans="13:13" ht="15.75" customHeight="1" x14ac:dyDescent="0.25">
      <c r="M607" s="1"/>
    </row>
    <row r="608" spans="13:13" ht="15.75" customHeight="1" x14ac:dyDescent="0.25">
      <c r="M608" s="1"/>
    </row>
    <row r="609" spans="13:13" ht="15.75" customHeight="1" x14ac:dyDescent="0.25">
      <c r="M609" s="1"/>
    </row>
    <row r="610" spans="13:13" ht="15.75" customHeight="1" x14ac:dyDescent="0.25">
      <c r="M610" s="1"/>
    </row>
    <row r="611" spans="13:13" ht="15.75" customHeight="1" x14ac:dyDescent="0.25">
      <c r="M611" s="1"/>
    </row>
    <row r="612" spans="13:13" ht="15.75" customHeight="1" x14ac:dyDescent="0.25">
      <c r="M612" s="1"/>
    </row>
    <row r="613" spans="13:13" ht="15.75" customHeight="1" x14ac:dyDescent="0.25">
      <c r="M613" s="1"/>
    </row>
    <row r="614" spans="13:13" ht="15.75" customHeight="1" x14ac:dyDescent="0.25">
      <c r="M614" s="1"/>
    </row>
    <row r="615" spans="13:13" ht="15.75" customHeight="1" x14ac:dyDescent="0.25">
      <c r="M615" s="1"/>
    </row>
    <row r="616" spans="13:13" ht="15.75" customHeight="1" x14ac:dyDescent="0.25">
      <c r="M616" s="1"/>
    </row>
    <row r="617" spans="13:13" ht="15.75" customHeight="1" x14ac:dyDescent="0.25">
      <c r="M617" s="1"/>
    </row>
    <row r="618" spans="13:13" ht="15.75" customHeight="1" x14ac:dyDescent="0.25">
      <c r="M618" s="1"/>
    </row>
    <row r="619" spans="13:13" ht="15.75" customHeight="1" x14ac:dyDescent="0.25">
      <c r="M619" s="1"/>
    </row>
    <row r="620" spans="13:13" ht="15.75" customHeight="1" x14ac:dyDescent="0.25">
      <c r="M620" s="1"/>
    </row>
    <row r="621" spans="13:13" ht="15.75" customHeight="1" x14ac:dyDescent="0.25">
      <c r="M621" s="1"/>
    </row>
    <row r="622" spans="13:13" ht="15.75" customHeight="1" x14ac:dyDescent="0.25">
      <c r="M622" s="1"/>
    </row>
    <row r="623" spans="13:13" ht="15.75" customHeight="1" x14ac:dyDescent="0.25">
      <c r="M623" s="1"/>
    </row>
    <row r="624" spans="13:13" ht="15.75" customHeight="1" x14ac:dyDescent="0.25">
      <c r="M624" s="1"/>
    </row>
    <row r="625" spans="13:13" ht="15.75" customHeight="1" x14ac:dyDescent="0.25">
      <c r="M625" s="1"/>
    </row>
    <row r="626" spans="13:13" ht="15.75" customHeight="1" x14ac:dyDescent="0.25">
      <c r="M626" s="1"/>
    </row>
    <row r="627" spans="13:13" ht="15.75" customHeight="1" x14ac:dyDescent="0.25">
      <c r="M627" s="1"/>
    </row>
    <row r="628" spans="13:13" ht="15.75" customHeight="1" x14ac:dyDescent="0.25">
      <c r="M628" s="1"/>
    </row>
    <row r="629" spans="13:13" ht="15.75" customHeight="1" x14ac:dyDescent="0.25">
      <c r="M629" s="1"/>
    </row>
    <row r="630" spans="13:13" ht="15.75" customHeight="1" x14ac:dyDescent="0.25">
      <c r="M630" s="1"/>
    </row>
    <row r="631" spans="13:13" ht="15.75" customHeight="1" x14ac:dyDescent="0.25">
      <c r="M631" s="1"/>
    </row>
    <row r="632" spans="13:13" ht="15.75" customHeight="1" x14ac:dyDescent="0.25">
      <c r="M632" s="1"/>
    </row>
    <row r="633" spans="13:13" ht="15.75" customHeight="1" x14ac:dyDescent="0.25">
      <c r="M633" s="1"/>
    </row>
    <row r="634" spans="13:13" ht="15.75" customHeight="1" x14ac:dyDescent="0.25">
      <c r="M634" s="1"/>
    </row>
    <row r="635" spans="13:13" ht="15.75" customHeight="1" x14ac:dyDescent="0.25">
      <c r="M635" s="1"/>
    </row>
    <row r="636" spans="13:13" ht="15.75" customHeight="1" x14ac:dyDescent="0.25">
      <c r="M636" s="1"/>
    </row>
    <row r="637" spans="13:13" ht="15.75" customHeight="1" x14ac:dyDescent="0.25">
      <c r="M637" s="1"/>
    </row>
    <row r="638" spans="13:13" ht="15.75" customHeight="1" x14ac:dyDescent="0.25">
      <c r="M638" s="1"/>
    </row>
    <row r="639" spans="13:13" ht="15.75" customHeight="1" x14ac:dyDescent="0.25">
      <c r="M639" s="1"/>
    </row>
    <row r="640" spans="13:13" ht="15.75" customHeight="1" x14ac:dyDescent="0.25">
      <c r="M640" s="1"/>
    </row>
    <row r="641" spans="13:13" ht="15.75" customHeight="1" x14ac:dyDescent="0.25">
      <c r="M641" s="1"/>
    </row>
    <row r="642" spans="13:13" ht="15.75" customHeight="1" x14ac:dyDescent="0.25">
      <c r="M642" s="1"/>
    </row>
    <row r="643" spans="13:13" ht="15.75" customHeight="1" x14ac:dyDescent="0.25">
      <c r="M643" s="1"/>
    </row>
    <row r="644" spans="13:13" ht="15.75" customHeight="1" x14ac:dyDescent="0.25">
      <c r="M644" s="1"/>
    </row>
    <row r="645" spans="13:13" ht="15.75" customHeight="1" x14ac:dyDescent="0.25">
      <c r="M645" s="1"/>
    </row>
    <row r="646" spans="13:13" ht="15.75" customHeight="1" x14ac:dyDescent="0.25">
      <c r="M646" s="1"/>
    </row>
    <row r="647" spans="13:13" ht="15.75" customHeight="1" x14ac:dyDescent="0.25">
      <c r="M647" s="1"/>
    </row>
    <row r="648" spans="13:13" ht="15.75" customHeight="1" x14ac:dyDescent="0.25">
      <c r="M648" s="1"/>
    </row>
    <row r="649" spans="13:13" ht="15.75" customHeight="1" x14ac:dyDescent="0.25">
      <c r="M649" s="1"/>
    </row>
    <row r="650" spans="13:13" ht="15.75" customHeight="1" x14ac:dyDescent="0.25">
      <c r="M650" s="1"/>
    </row>
    <row r="651" spans="13:13" ht="15.75" customHeight="1" x14ac:dyDescent="0.25">
      <c r="M651" s="1"/>
    </row>
    <row r="652" spans="13:13" ht="15.75" customHeight="1" x14ac:dyDescent="0.25">
      <c r="M652" s="1"/>
    </row>
    <row r="653" spans="13:13" ht="15.75" customHeight="1" x14ac:dyDescent="0.25">
      <c r="M653" s="1"/>
    </row>
    <row r="654" spans="13:13" ht="15.75" customHeight="1" x14ac:dyDescent="0.25">
      <c r="M654" s="1"/>
    </row>
    <row r="655" spans="13:13" ht="15.75" customHeight="1" x14ac:dyDescent="0.25">
      <c r="M655" s="1"/>
    </row>
    <row r="656" spans="13:13" ht="15.75" customHeight="1" x14ac:dyDescent="0.25">
      <c r="M656" s="1"/>
    </row>
    <row r="657" spans="13:13" ht="15.75" customHeight="1" x14ac:dyDescent="0.25">
      <c r="M657" s="1"/>
    </row>
    <row r="658" spans="13:13" ht="15.75" customHeight="1" x14ac:dyDescent="0.25">
      <c r="M658" s="1"/>
    </row>
    <row r="659" spans="13:13" ht="15.75" customHeight="1" x14ac:dyDescent="0.25">
      <c r="M659" s="1"/>
    </row>
    <row r="660" spans="13:13" ht="15.75" customHeight="1" x14ac:dyDescent="0.25">
      <c r="M660" s="1"/>
    </row>
    <row r="661" spans="13:13" ht="15.75" customHeight="1" x14ac:dyDescent="0.25">
      <c r="M661" s="1"/>
    </row>
    <row r="662" spans="13:13" ht="15.75" customHeight="1" x14ac:dyDescent="0.25">
      <c r="M662" s="1"/>
    </row>
    <row r="663" spans="13:13" ht="15.75" customHeight="1" x14ac:dyDescent="0.25">
      <c r="M663" s="1"/>
    </row>
    <row r="664" spans="13:13" ht="15.75" customHeight="1" x14ac:dyDescent="0.25">
      <c r="M664" s="1"/>
    </row>
    <row r="665" spans="13:13" ht="15.75" customHeight="1" x14ac:dyDescent="0.25">
      <c r="M665" s="1"/>
    </row>
    <row r="666" spans="13:13" ht="15.75" customHeight="1" x14ac:dyDescent="0.25">
      <c r="M666" s="1"/>
    </row>
    <row r="667" spans="13:13" ht="15.75" customHeight="1" x14ac:dyDescent="0.25">
      <c r="M667" s="1"/>
    </row>
    <row r="668" spans="13:13" ht="15.75" customHeight="1" x14ac:dyDescent="0.25">
      <c r="M668" s="1"/>
    </row>
    <row r="669" spans="13:13" ht="15.75" customHeight="1" x14ac:dyDescent="0.25">
      <c r="M669" s="1"/>
    </row>
    <row r="670" spans="13:13" ht="15.75" customHeight="1" x14ac:dyDescent="0.25">
      <c r="M670" s="1"/>
    </row>
    <row r="671" spans="13:13" ht="15.75" customHeight="1" x14ac:dyDescent="0.25">
      <c r="M671" s="1"/>
    </row>
    <row r="672" spans="13:13" ht="15.75" customHeight="1" x14ac:dyDescent="0.25">
      <c r="M672" s="1"/>
    </row>
    <row r="673" spans="13:13" ht="15.75" customHeight="1" x14ac:dyDescent="0.25">
      <c r="M673" s="1"/>
    </row>
    <row r="674" spans="13:13" ht="15.75" customHeight="1" x14ac:dyDescent="0.25">
      <c r="M674" s="1"/>
    </row>
    <row r="675" spans="13:13" ht="15.75" customHeight="1" x14ac:dyDescent="0.25">
      <c r="M675" s="1"/>
    </row>
    <row r="676" spans="13:13" ht="15.75" customHeight="1" x14ac:dyDescent="0.25">
      <c r="M676" s="1"/>
    </row>
    <row r="677" spans="13:13" ht="15.75" customHeight="1" x14ac:dyDescent="0.25">
      <c r="M677" s="1"/>
    </row>
    <row r="678" spans="13:13" ht="15.75" customHeight="1" x14ac:dyDescent="0.25">
      <c r="M678" s="1"/>
    </row>
    <row r="679" spans="13:13" ht="15.75" customHeight="1" x14ac:dyDescent="0.25">
      <c r="M679" s="1"/>
    </row>
    <row r="680" spans="13:13" ht="15.75" customHeight="1" x14ac:dyDescent="0.25">
      <c r="M680" s="1"/>
    </row>
    <row r="681" spans="13:13" ht="15.75" customHeight="1" x14ac:dyDescent="0.25">
      <c r="M681" s="1"/>
    </row>
    <row r="682" spans="13:13" ht="15.75" customHeight="1" x14ac:dyDescent="0.25">
      <c r="M682" s="1"/>
    </row>
    <row r="683" spans="13:13" ht="15.75" customHeight="1" x14ac:dyDescent="0.25">
      <c r="M683" s="1"/>
    </row>
    <row r="684" spans="13:13" ht="15.75" customHeight="1" x14ac:dyDescent="0.25">
      <c r="M684" s="1"/>
    </row>
    <row r="685" spans="13:13" ht="15.75" customHeight="1" x14ac:dyDescent="0.25">
      <c r="M685" s="1"/>
    </row>
    <row r="686" spans="13:13" ht="15.75" customHeight="1" x14ac:dyDescent="0.25">
      <c r="M686" s="1"/>
    </row>
    <row r="687" spans="13:13" ht="15.75" customHeight="1" x14ac:dyDescent="0.25">
      <c r="M687" s="1"/>
    </row>
    <row r="688" spans="13:13" ht="15.75" customHeight="1" x14ac:dyDescent="0.25">
      <c r="M688" s="1"/>
    </row>
    <row r="689" spans="13:13" ht="15.75" customHeight="1" x14ac:dyDescent="0.25">
      <c r="M689" s="1"/>
    </row>
    <row r="690" spans="13:13" ht="15.75" customHeight="1" x14ac:dyDescent="0.25">
      <c r="M690" s="1"/>
    </row>
    <row r="691" spans="13:13" ht="15.75" customHeight="1" x14ac:dyDescent="0.25">
      <c r="M691" s="1"/>
    </row>
    <row r="692" spans="13:13" ht="15.75" customHeight="1" x14ac:dyDescent="0.25">
      <c r="M692" s="1"/>
    </row>
    <row r="693" spans="13:13" ht="15.75" customHeight="1" x14ac:dyDescent="0.25">
      <c r="M693" s="1"/>
    </row>
    <row r="694" spans="13:13" ht="15.75" customHeight="1" x14ac:dyDescent="0.25">
      <c r="M694" s="1"/>
    </row>
    <row r="695" spans="13:13" ht="15.75" customHeight="1" x14ac:dyDescent="0.25">
      <c r="M695" s="1"/>
    </row>
    <row r="696" spans="13:13" ht="15.75" customHeight="1" x14ac:dyDescent="0.25">
      <c r="M696" s="1"/>
    </row>
    <row r="697" spans="13:13" ht="15.75" customHeight="1" x14ac:dyDescent="0.25">
      <c r="M697" s="1"/>
    </row>
    <row r="698" spans="13:13" ht="15.75" customHeight="1" x14ac:dyDescent="0.25">
      <c r="M698" s="1"/>
    </row>
    <row r="699" spans="13:13" ht="15.75" customHeight="1" x14ac:dyDescent="0.25">
      <c r="M699" s="1"/>
    </row>
    <row r="700" spans="13:13" ht="15.75" customHeight="1" x14ac:dyDescent="0.25">
      <c r="M700" s="1"/>
    </row>
    <row r="701" spans="13:13" ht="15.75" customHeight="1" x14ac:dyDescent="0.25">
      <c r="M701" s="1"/>
    </row>
    <row r="702" spans="13:13" ht="15.75" customHeight="1" x14ac:dyDescent="0.25">
      <c r="M702" s="1"/>
    </row>
    <row r="703" spans="13:13" ht="15.75" customHeight="1" x14ac:dyDescent="0.25">
      <c r="M703" s="1"/>
    </row>
    <row r="704" spans="13:13" ht="15.75" customHeight="1" x14ac:dyDescent="0.25">
      <c r="M704" s="1"/>
    </row>
    <row r="705" spans="13:13" ht="15.75" customHeight="1" x14ac:dyDescent="0.25">
      <c r="M705" s="1"/>
    </row>
    <row r="706" spans="13:13" ht="15.75" customHeight="1" x14ac:dyDescent="0.25">
      <c r="M706" s="1"/>
    </row>
    <row r="707" spans="13:13" ht="15.75" customHeight="1" x14ac:dyDescent="0.25">
      <c r="M707" s="1"/>
    </row>
    <row r="708" spans="13:13" ht="15.75" customHeight="1" x14ac:dyDescent="0.25">
      <c r="M708" s="1"/>
    </row>
    <row r="709" spans="13:13" ht="15.75" customHeight="1" x14ac:dyDescent="0.25">
      <c r="M709" s="1"/>
    </row>
    <row r="710" spans="13:13" ht="15.75" customHeight="1" x14ac:dyDescent="0.25">
      <c r="M710" s="1"/>
    </row>
    <row r="711" spans="13:13" ht="15.75" customHeight="1" x14ac:dyDescent="0.25">
      <c r="M711" s="1"/>
    </row>
    <row r="712" spans="13:13" ht="15.75" customHeight="1" x14ac:dyDescent="0.25">
      <c r="M712" s="1"/>
    </row>
    <row r="713" spans="13:13" ht="15.75" customHeight="1" x14ac:dyDescent="0.25">
      <c r="M713" s="1"/>
    </row>
    <row r="714" spans="13:13" ht="15.75" customHeight="1" x14ac:dyDescent="0.25">
      <c r="M714" s="1"/>
    </row>
    <row r="715" spans="13:13" ht="15.75" customHeight="1" x14ac:dyDescent="0.25">
      <c r="M715" s="1"/>
    </row>
    <row r="716" spans="13:13" ht="15.75" customHeight="1" x14ac:dyDescent="0.25">
      <c r="M716" s="1"/>
    </row>
    <row r="717" spans="13:13" ht="15.75" customHeight="1" x14ac:dyDescent="0.25">
      <c r="M717" s="1"/>
    </row>
    <row r="718" spans="13:13" ht="15.75" customHeight="1" x14ac:dyDescent="0.25">
      <c r="M718" s="1"/>
    </row>
    <row r="719" spans="13:13" ht="15.75" customHeight="1" x14ac:dyDescent="0.25">
      <c r="M719" s="1"/>
    </row>
    <row r="720" spans="13:13" ht="15.75" customHeight="1" x14ac:dyDescent="0.25">
      <c r="M720" s="1"/>
    </row>
    <row r="721" spans="13:13" ht="15.75" customHeight="1" x14ac:dyDescent="0.25">
      <c r="M721" s="1"/>
    </row>
    <row r="722" spans="13:13" ht="15.75" customHeight="1" x14ac:dyDescent="0.25">
      <c r="M722" s="1"/>
    </row>
    <row r="723" spans="13:13" ht="15.75" customHeight="1" x14ac:dyDescent="0.25">
      <c r="M723" s="1"/>
    </row>
    <row r="724" spans="13:13" ht="15.75" customHeight="1" x14ac:dyDescent="0.25">
      <c r="M724" s="1"/>
    </row>
    <row r="725" spans="13:13" ht="15.75" customHeight="1" x14ac:dyDescent="0.25">
      <c r="M725" s="1"/>
    </row>
    <row r="726" spans="13:13" ht="15.75" customHeight="1" x14ac:dyDescent="0.25">
      <c r="M726" s="1"/>
    </row>
    <row r="727" spans="13:13" ht="15.75" customHeight="1" x14ac:dyDescent="0.25">
      <c r="M727" s="1"/>
    </row>
    <row r="728" spans="13:13" ht="15.75" customHeight="1" x14ac:dyDescent="0.25">
      <c r="M728" s="1"/>
    </row>
    <row r="729" spans="13:13" ht="15.75" customHeight="1" x14ac:dyDescent="0.25">
      <c r="M729" s="1"/>
    </row>
    <row r="730" spans="13:13" ht="15.75" customHeight="1" x14ac:dyDescent="0.25">
      <c r="M730" s="1"/>
    </row>
    <row r="731" spans="13:13" ht="15.75" customHeight="1" x14ac:dyDescent="0.25">
      <c r="M731" s="1"/>
    </row>
    <row r="732" spans="13:13" ht="15.75" customHeight="1" x14ac:dyDescent="0.25">
      <c r="M732" s="1"/>
    </row>
    <row r="733" spans="13:13" ht="15.75" customHeight="1" x14ac:dyDescent="0.25">
      <c r="M733" s="1"/>
    </row>
    <row r="734" spans="13:13" ht="15.75" customHeight="1" x14ac:dyDescent="0.25">
      <c r="M734" s="1"/>
    </row>
    <row r="735" spans="13:13" ht="15.75" customHeight="1" x14ac:dyDescent="0.25">
      <c r="M735" s="1"/>
    </row>
    <row r="736" spans="13:13" ht="15.75" customHeight="1" x14ac:dyDescent="0.25">
      <c r="M736" s="1"/>
    </row>
    <row r="737" spans="13:13" ht="15.75" customHeight="1" x14ac:dyDescent="0.25">
      <c r="M737" s="1"/>
    </row>
    <row r="738" spans="13:13" ht="15.75" customHeight="1" x14ac:dyDescent="0.25">
      <c r="M738" s="1"/>
    </row>
    <row r="739" spans="13:13" ht="15.75" customHeight="1" x14ac:dyDescent="0.25">
      <c r="M739" s="1"/>
    </row>
    <row r="740" spans="13:13" ht="15.75" customHeight="1" x14ac:dyDescent="0.25">
      <c r="M740" s="1"/>
    </row>
    <row r="741" spans="13:13" ht="15.75" customHeight="1" x14ac:dyDescent="0.25">
      <c r="M741" s="1"/>
    </row>
    <row r="742" spans="13:13" ht="15.75" customHeight="1" x14ac:dyDescent="0.25">
      <c r="M742" s="1"/>
    </row>
    <row r="743" spans="13:13" ht="15.75" customHeight="1" x14ac:dyDescent="0.25">
      <c r="M743" s="1"/>
    </row>
    <row r="744" spans="13:13" ht="15.75" customHeight="1" x14ac:dyDescent="0.25">
      <c r="M744" s="1"/>
    </row>
    <row r="745" spans="13:13" ht="15.75" customHeight="1" x14ac:dyDescent="0.25">
      <c r="M745" s="1"/>
    </row>
    <row r="746" spans="13:13" ht="15.75" customHeight="1" x14ac:dyDescent="0.25">
      <c r="M746" s="1"/>
    </row>
    <row r="747" spans="13:13" ht="15.75" customHeight="1" x14ac:dyDescent="0.25">
      <c r="M747" s="1"/>
    </row>
    <row r="748" spans="13:13" ht="15.75" customHeight="1" x14ac:dyDescent="0.25">
      <c r="M748" s="1"/>
    </row>
    <row r="749" spans="13:13" ht="15.75" customHeight="1" x14ac:dyDescent="0.25">
      <c r="M749" s="1"/>
    </row>
    <row r="750" spans="13:13" ht="15.75" customHeight="1" x14ac:dyDescent="0.25">
      <c r="M750" s="1"/>
    </row>
    <row r="751" spans="13:13" ht="15.75" customHeight="1" x14ac:dyDescent="0.25">
      <c r="M751" s="1"/>
    </row>
    <row r="752" spans="13:13" ht="15.75" customHeight="1" x14ac:dyDescent="0.25">
      <c r="M752" s="1"/>
    </row>
    <row r="753" spans="13:13" ht="15.75" customHeight="1" x14ac:dyDescent="0.25">
      <c r="M753" s="1"/>
    </row>
    <row r="754" spans="13:13" ht="15.75" customHeight="1" x14ac:dyDescent="0.25">
      <c r="M754" s="1"/>
    </row>
    <row r="755" spans="13:13" ht="15.75" customHeight="1" x14ac:dyDescent="0.25">
      <c r="M755" s="1"/>
    </row>
    <row r="756" spans="13:13" ht="15.75" customHeight="1" x14ac:dyDescent="0.25">
      <c r="M756" s="1"/>
    </row>
    <row r="757" spans="13:13" ht="15.75" customHeight="1" x14ac:dyDescent="0.25">
      <c r="M757" s="1"/>
    </row>
    <row r="758" spans="13:13" ht="15.75" customHeight="1" x14ac:dyDescent="0.25">
      <c r="M758" s="1"/>
    </row>
    <row r="759" spans="13:13" ht="15.75" customHeight="1" x14ac:dyDescent="0.25">
      <c r="M759" s="1"/>
    </row>
    <row r="760" spans="13:13" ht="15.75" customHeight="1" x14ac:dyDescent="0.25">
      <c r="M760" s="1"/>
    </row>
    <row r="761" spans="13:13" ht="15.75" customHeight="1" x14ac:dyDescent="0.25">
      <c r="M761" s="1"/>
    </row>
    <row r="762" spans="13:13" ht="15.75" customHeight="1" x14ac:dyDescent="0.25">
      <c r="M762" s="1"/>
    </row>
    <row r="763" spans="13:13" ht="15.75" customHeight="1" x14ac:dyDescent="0.25">
      <c r="M763" s="1"/>
    </row>
    <row r="764" spans="13:13" ht="15.75" customHeight="1" x14ac:dyDescent="0.25">
      <c r="M764" s="1"/>
    </row>
    <row r="765" spans="13:13" ht="15.75" customHeight="1" x14ac:dyDescent="0.25">
      <c r="M765" s="1"/>
    </row>
    <row r="766" spans="13:13" ht="15.75" customHeight="1" x14ac:dyDescent="0.25">
      <c r="M766" s="1"/>
    </row>
    <row r="767" spans="13:13" ht="15.75" customHeight="1" x14ac:dyDescent="0.25">
      <c r="M767" s="1"/>
    </row>
    <row r="768" spans="13:13" ht="15.75" customHeight="1" x14ac:dyDescent="0.25">
      <c r="M768" s="1"/>
    </row>
    <row r="769" spans="13:13" ht="15.75" customHeight="1" x14ac:dyDescent="0.25">
      <c r="M769" s="1"/>
    </row>
    <row r="770" spans="13:13" ht="15.75" customHeight="1" x14ac:dyDescent="0.25">
      <c r="M770" s="1"/>
    </row>
    <row r="771" spans="13:13" ht="15.75" customHeight="1" x14ac:dyDescent="0.25">
      <c r="M771" s="1"/>
    </row>
    <row r="772" spans="13:13" ht="15.75" customHeight="1" x14ac:dyDescent="0.25">
      <c r="M772" s="1"/>
    </row>
    <row r="773" spans="13:13" ht="15.75" customHeight="1" x14ac:dyDescent="0.25">
      <c r="M773" s="1"/>
    </row>
    <row r="774" spans="13:13" ht="15.75" customHeight="1" x14ac:dyDescent="0.25">
      <c r="M774" s="1"/>
    </row>
    <row r="775" spans="13:13" ht="15.75" customHeight="1" x14ac:dyDescent="0.25">
      <c r="M775" s="1"/>
    </row>
    <row r="776" spans="13:13" ht="15.75" customHeight="1" x14ac:dyDescent="0.25">
      <c r="M776" s="1"/>
    </row>
    <row r="777" spans="13:13" ht="15.75" customHeight="1" x14ac:dyDescent="0.25">
      <c r="M777" s="1"/>
    </row>
    <row r="778" spans="13:13" ht="15.75" customHeight="1" x14ac:dyDescent="0.25">
      <c r="M778" s="1"/>
    </row>
    <row r="779" spans="13:13" ht="15.75" customHeight="1" x14ac:dyDescent="0.25">
      <c r="M779" s="1"/>
    </row>
    <row r="780" spans="13:13" ht="15.75" customHeight="1" x14ac:dyDescent="0.25">
      <c r="M780" s="1"/>
    </row>
    <row r="781" spans="13:13" ht="15.75" customHeight="1" x14ac:dyDescent="0.25">
      <c r="M781" s="1"/>
    </row>
    <row r="782" spans="13:13" ht="15.75" customHeight="1" x14ac:dyDescent="0.25">
      <c r="M782" s="1"/>
    </row>
    <row r="783" spans="13:13" ht="15.75" customHeight="1" x14ac:dyDescent="0.25">
      <c r="M783" s="1"/>
    </row>
    <row r="784" spans="13:13" ht="15.75" customHeight="1" x14ac:dyDescent="0.25">
      <c r="M784" s="1"/>
    </row>
    <row r="785" spans="13:13" ht="15.75" customHeight="1" x14ac:dyDescent="0.25">
      <c r="M785" s="1"/>
    </row>
    <row r="786" spans="13:13" ht="15.75" customHeight="1" x14ac:dyDescent="0.25">
      <c r="M786" s="1"/>
    </row>
    <row r="787" spans="13:13" ht="15.75" customHeight="1" x14ac:dyDescent="0.25">
      <c r="M787" s="1"/>
    </row>
    <row r="788" spans="13:13" ht="15.75" customHeight="1" x14ac:dyDescent="0.25">
      <c r="M788" s="1"/>
    </row>
    <row r="789" spans="13:13" ht="15.75" customHeight="1" x14ac:dyDescent="0.25">
      <c r="M789" s="1"/>
    </row>
    <row r="790" spans="13:13" ht="15.75" customHeight="1" x14ac:dyDescent="0.25">
      <c r="M790" s="1"/>
    </row>
    <row r="791" spans="13:13" ht="15.75" customHeight="1" x14ac:dyDescent="0.25">
      <c r="M791" s="1"/>
    </row>
    <row r="792" spans="13:13" ht="15.75" customHeight="1" x14ac:dyDescent="0.25">
      <c r="M792" s="1"/>
    </row>
    <row r="793" spans="13:13" ht="15.75" customHeight="1" x14ac:dyDescent="0.25">
      <c r="M793" s="1"/>
    </row>
    <row r="794" spans="13:13" ht="15.75" customHeight="1" x14ac:dyDescent="0.25">
      <c r="M794" s="1"/>
    </row>
    <row r="795" spans="13:13" ht="15.75" customHeight="1" x14ac:dyDescent="0.25">
      <c r="M795" s="1"/>
    </row>
    <row r="796" spans="13:13" ht="15.75" customHeight="1" x14ac:dyDescent="0.25">
      <c r="M796" s="1"/>
    </row>
    <row r="797" spans="13:13" ht="15.75" customHeight="1" x14ac:dyDescent="0.25">
      <c r="M797" s="1"/>
    </row>
    <row r="798" spans="13:13" ht="15.75" customHeight="1" x14ac:dyDescent="0.25">
      <c r="M798" s="1"/>
    </row>
    <row r="799" spans="13:13" ht="15.75" customHeight="1" x14ac:dyDescent="0.25">
      <c r="M799" s="1"/>
    </row>
    <row r="800" spans="13:13" ht="15.75" customHeight="1" x14ac:dyDescent="0.25">
      <c r="M800" s="1"/>
    </row>
    <row r="801" spans="13:13" ht="15.75" customHeight="1" x14ac:dyDescent="0.25">
      <c r="M801" s="1"/>
    </row>
    <row r="802" spans="13:13" ht="15.75" customHeight="1" x14ac:dyDescent="0.25">
      <c r="M802" s="1"/>
    </row>
    <row r="803" spans="13:13" ht="15.75" customHeight="1" x14ac:dyDescent="0.25">
      <c r="M803" s="1"/>
    </row>
    <row r="804" spans="13:13" ht="15.75" customHeight="1" x14ac:dyDescent="0.25">
      <c r="M804" s="1"/>
    </row>
    <row r="805" spans="13:13" ht="15.75" customHeight="1" x14ac:dyDescent="0.25">
      <c r="M805" s="1"/>
    </row>
    <row r="806" spans="13:13" ht="15.75" customHeight="1" x14ac:dyDescent="0.25">
      <c r="M806" s="1"/>
    </row>
    <row r="807" spans="13:13" ht="15.75" customHeight="1" x14ac:dyDescent="0.25">
      <c r="M807" s="1"/>
    </row>
    <row r="808" spans="13:13" ht="15.75" customHeight="1" x14ac:dyDescent="0.25">
      <c r="M808" s="1"/>
    </row>
    <row r="809" spans="13:13" ht="15.75" customHeight="1" x14ac:dyDescent="0.25">
      <c r="M809" s="1"/>
    </row>
    <row r="810" spans="13:13" ht="15.75" customHeight="1" x14ac:dyDescent="0.25">
      <c r="M810" s="1"/>
    </row>
    <row r="811" spans="13:13" ht="15.75" customHeight="1" x14ac:dyDescent="0.25">
      <c r="M811" s="1"/>
    </row>
    <row r="812" spans="13:13" ht="15.75" customHeight="1" x14ac:dyDescent="0.25">
      <c r="M812" s="1"/>
    </row>
    <row r="813" spans="13:13" ht="15.75" customHeight="1" x14ac:dyDescent="0.25">
      <c r="M813" s="1"/>
    </row>
    <row r="814" spans="13:13" ht="15.75" customHeight="1" x14ac:dyDescent="0.25">
      <c r="M814" s="1"/>
    </row>
    <row r="815" spans="13:13" ht="15.75" customHeight="1" x14ac:dyDescent="0.25">
      <c r="M815" s="1"/>
    </row>
    <row r="816" spans="13:13" ht="15.75" customHeight="1" x14ac:dyDescent="0.25">
      <c r="M816" s="1"/>
    </row>
    <row r="817" spans="13:13" ht="15.75" customHeight="1" x14ac:dyDescent="0.25">
      <c r="M817" s="1"/>
    </row>
    <row r="818" spans="13:13" ht="15.75" customHeight="1" x14ac:dyDescent="0.25">
      <c r="M818" s="1"/>
    </row>
    <row r="819" spans="13:13" ht="15.75" customHeight="1" x14ac:dyDescent="0.25">
      <c r="M819" s="1"/>
    </row>
    <row r="820" spans="13:13" ht="15.75" customHeight="1" x14ac:dyDescent="0.25">
      <c r="M820" s="1"/>
    </row>
    <row r="821" spans="13:13" ht="15.75" customHeight="1" x14ac:dyDescent="0.25">
      <c r="M821" s="1"/>
    </row>
    <row r="822" spans="13:13" ht="15.75" customHeight="1" x14ac:dyDescent="0.25">
      <c r="M822" s="1"/>
    </row>
    <row r="823" spans="13:13" ht="15.75" customHeight="1" x14ac:dyDescent="0.25">
      <c r="M823" s="1"/>
    </row>
    <row r="824" spans="13:13" ht="15.75" customHeight="1" x14ac:dyDescent="0.25">
      <c r="M824" s="1"/>
    </row>
    <row r="825" spans="13:13" ht="15.75" customHeight="1" x14ac:dyDescent="0.25">
      <c r="M825" s="1"/>
    </row>
    <row r="826" spans="13:13" ht="15.75" customHeight="1" x14ac:dyDescent="0.25">
      <c r="M826" s="1"/>
    </row>
    <row r="827" spans="13:13" ht="15.75" customHeight="1" x14ac:dyDescent="0.25">
      <c r="M827" s="1"/>
    </row>
    <row r="828" spans="13:13" ht="15.75" customHeight="1" x14ac:dyDescent="0.25">
      <c r="M828" s="1"/>
    </row>
    <row r="829" spans="13:13" ht="15.75" customHeight="1" x14ac:dyDescent="0.25">
      <c r="M829" s="1"/>
    </row>
    <row r="830" spans="13:13" ht="15.75" customHeight="1" x14ac:dyDescent="0.25">
      <c r="M830" s="1"/>
    </row>
    <row r="831" spans="13:13" ht="15.75" customHeight="1" x14ac:dyDescent="0.25">
      <c r="M831" s="1"/>
    </row>
    <row r="832" spans="13:13" ht="15.75" customHeight="1" x14ac:dyDescent="0.25">
      <c r="M832" s="1"/>
    </row>
    <row r="833" spans="13:13" ht="15.75" customHeight="1" x14ac:dyDescent="0.25">
      <c r="M833" s="1"/>
    </row>
    <row r="834" spans="13:13" ht="15.75" customHeight="1" x14ac:dyDescent="0.25">
      <c r="M834" s="1"/>
    </row>
    <row r="835" spans="13:13" ht="15.75" customHeight="1" x14ac:dyDescent="0.25">
      <c r="M835" s="1"/>
    </row>
    <row r="836" spans="13:13" ht="15.75" customHeight="1" x14ac:dyDescent="0.25">
      <c r="M836" s="1"/>
    </row>
    <row r="837" spans="13:13" ht="15.75" customHeight="1" x14ac:dyDescent="0.25">
      <c r="M837" s="1"/>
    </row>
    <row r="838" spans="13:13" ht="15.75" customHeight="1" x14ac:dyDescent="0.25">
      <c r="M838" s="1"/>
    </row>
    <row r="839" spans="13:13" ht="15.75" customHeight="1" x14ac:dyDescent="0.25">
      <c r="M839" s="1"/>
    </row>
    <row r="840" spans="13:13" ht="15.75" customHeight="1" x14ac:dyDescent="0.25">
      <c r="M840" s="1"/>
    </row>
    <row r="841" spans="13:13" ht="15.75" customHeight="1" x14ac:dyDescent="0.25">
      <c r="M841" s="1"/>
    </row>
    <row r="842" spans="13:13" ht="15.75" customHeight="1" x14ac:dyDescent="0.25">
      <c r="M842" s="1"/>
    </row>
    <row r="843" spans="13:13" ht="15.75" customHeight="1" x14ac:dyDescent="0.25">
      <c r="M843" s="1"/>
    </row>
    <row r="844" spans="13:13" ht="15.75" customHeight="1" x14ac:dyDescent="0.25">
      <c r="M844" s="1"/>
    </row>
    <row r="845" spans="13:13" ht="15.75" customHeight="1" x14ac:dyDescent="0.25">
      <c r="M845" s="1"/>
    </row>
    <row r="846" spans="13:13" ht="15.75" customHeight="1" x14ac:dyDescent="0.25">
      <c r="M846" s="1"/>
    </row>
    <row r="847" spans="13:13" ht="15.75" customHeight="1" x14ac:dyDescent="0.25">
      <c r="M847" s="1"/>
    </row>
    <row r="848" spans="13:13" ht="15.75" customHeight="1" x14ac:dyDescent="0.25">
      <c r="M848" s="1"/>
    </row>
    <row r="849" spans="13:13" ht="15.75" customHeight="1" x14ac:dyDescent="0.25">
      <c r="M849" s="1"/>
    </row>
    <row r="850" spans="13:13" ht="15.75" customHeight="1" x14ac:dyDescent="0.25">
      <c r="M850" s="1"/>
    </row>
    <row r="851" spans="13:13" ht="15.75" customHeight="1" x14ac:dyDescent="0.25">
      <c r="M851" s="1"/>
    </row>
    <row r="852" spans="13:13" ht="15.75" customHeight="1" x14ac:dyDescent="0.25">
      <c r="M852" s="1"/>
    </row>
    <row r="853" spans="13:13" ht="15.75" customHeight="1" x14ac:dyDescent="0.25">
      <c r="M853" s="1"/>
    </row>
    <row r="854" spans="13:13" ht="15.75" customHeight="1" x14ac:dyDescent="0.25">
      <c r="M854" s="1"/>
    </row>
    <row r="855" spans="13:13" ht="15.75" customHeight="1" x14ac:dyDescent="0.25">
      <c r="M855" s="1"/>
    </row>
    <row r="856" spans="13:13" ht="15.75" customHeight="1" x14ac:dyDescent="0.25">
      <c r="M856" s="1"/>
    </row>
    <row r="857" spans="13:13" ht="15.75" customHeight="1" x14ac:dyDescent="0.25">
      <c r="M857" s="1"/>
    </row>
    <row r="858" spans="13:13" ht="15.75" customHeight="1" x14ac:dyDescent="0.25">
      <c r="M858" s="1"/>
    </row>
    <row r="859" spans="13:13" ht="15.75" customHeight="1" x14ac:dyDescent="0.25">
      <c r="M859" s="1"/>
    </row>
    <row r="860" spans="13:13" ht="15.75" customHeight="1" x14ac:dyDescent="0.25">
      <c r="M860" s="1"/>
    </row>
    <row r="861" spans="13:13" ht="15.75" customHeight="1" x14ac:dyDescent="0.25">
      <c r="M861" s="1"/>
    </row>
    <row r="862" spans="13:13" ht="15.75" customHeight="1" x14ac:dyDescent="0.25">
      <c r="M862" s="1"/>
    </row>
    <row r="863" spans="13:13" ht="15.75" customHeight="1" x14ac:dyDescent="0.25">
      <c r="M863" s="1"/>
    </row>
    <row r="864" spans="13:13" ht="15.75" customHeight="1" x14ac:dyDescent="0.25">
      <c r="M864" s="1"/>
    </row>
    <row r="865" spans="13:13" ht="15.75" customHeight="1" x14ac:dyDescent="0.25">
      <c r="M865" s="1"/>
    </row>
    <row r="866" spans="13:13" ht="15.75" customHeight="1" x14ac:dyDescent="0.25">
      <c r="M866" s="1"/>
    </row>
    <row r="867" spans="13:13" ht="15.75" customHeight="1" x14ac:dyDescent="0.25">
      <c r="M867" s="1"/>
    </row>
    <row r="868" spans="13:13" ht="15.75" customHeight="1" x14ac:dyDescent="0.25">
      <c r="M868" s="1"/>
    </row>
    <row r="869" spans="13:13" ht="15.75" customHeight="1" x14ac:dyDescent="0.25">
      <c r="M869" s="1"/>
    </row>
    <row r="870" spans="13:13" ht="15.75" customHeight="1" x14ac:dyDescent="0.25">
      <c r="M870" s="1"/>
    </row>
    <row r="871" spans="13:13" ht="15.75" customHeight="1" x14ac:dyDescent="0.25">
      <c r="M871" s="1"/>
    </row>
    <row r="872" spans="13:13" ht="15.75" customHeight="1" x14ac:dyDescent="0.25">
      <c r="M872" s="1"/>
    </row>
    <row r="873" spans="13:13" ht="15.75" customHeight="1" x14ac:dyDescent="0.25">
      <c r="M873" s="1"/>
    </row>
    <row r="874" spans="13:13" ht="15.75" customHeight="1" x14ac:dyDescent="0.25">
      <c r="M874" s="1"/>
    </row>
    <row r="875" spans="13:13" ht="15.75" customHeight="1" x14ac:dyDescent="0.25">
      <c r="M875" s="1"/>
    </row>
    <row r="876" spans="13:13" ht="15.75" customHeight="1" x14ac:dyDescent="0.25">
      <c r="M876" s="1"/>
    </row>
    <row r="877" spans="13:13" ht="15.75" customHeight="1" x14ac:dyDescent="0.25">
      <c r="M877" s="1"/>
    </row>
    <row r="878" spans="13:13" ht="15.75" customHeight="1" x14ac:dyDescent="0.25">
      <c r="M878" s="1"/>
    </row>
    <row r="879" spans="13:13" ht="15.75" customHeight="1" x14ac:dyDescent="0.25">
      <c r="M879" s="1"/>
    </row>
    <row r="880" spans="13:13" ht="15.75" customHeight="1" x14ac:dyDescent="0.25">
      <c r="M880" s="1"/>
    </row>
    <row r="881" spans="13:13" ht="15.75" customHeight="1" x14ac:dyDescent="0.25">
      <c r="M881" s="1"/>
    </row>
    <row r="882" spans="13:13" ht="15.75" customHeight="1" x14ac:dyDescent="0.25">
      <c r="M882" s="1"/>
    </row>
    <row r="883" spans="13:13" ht="15.75" customHeight="1" x14ac:dyDescent="0.25">
      <c r="M883" s="1"/>
    </row>
    <row r="884" spans="13:13" ht="15.75" customHeight="1" x14ac:dyDescent="0.25">
      <c r="M884" s="1"/>
    </row>
    <row r="885" spans="13:13" ht="15.75" customHeight="1" x14ac:dyDescent="0.25">
      <c r="M885" s="1"/>
    </row>
    <row r="886" spans="13:13" ht="15.75" customHeight="1" x14ac:dyDescent="0.25">
      <c r="M886" s="1"/>
    </row>
    <row r="887" spans="13:13" ht="15.75" customHeight="1" x14ac:dyDescent="0.25">
      <c r="M887" s="1"/>
    </row>
    <row r="888" spans="13:13" ht="15.75" customHeight="1" x14ac:dyDescent="0.25">
      <c r="M888" s="1"/>
    </row>
    <row r="889" spans="13:13" ht="15.75" customHeight="1" x14ac:dyDescent="0.25">
      <c r="M889" s="1"/>
    </row>
    <row r="890" spans="13:13" ht="15.75" customHeight="1" x14ac:dyDescent="0.25">
      <c r="M890" s="1"/>
    </row>
    <row r="891" spans="13:13" ht="15.75" customHeight="1" x14ac:dyDescent="0.25">
      <c r="M891" s="1"/>
    </row>
    <row r="892" spans="13:13" ht="15.75" customHeight="1" x14ac:dyDescent="0.25">
      <c r="M892" s="1"/>
    </row>
    <row r="893" spans="13:13" ht="15.75" customHeight="1" x14ac:dyDescent="0.25">
      <c r="M893" s="1"/>
    </row>
    <row r="894" spans="13:13" ht="15.75" customHeight="1" x14ac:dyDescent="0.25">
      <c r="M894" s="1"/>
    </row>
    <row r="895" spans="13:13" ht="15.75" customHeight="1" x14ac:dyDescent="0.25">
      <c r="M895" s="1"/>
    </row>
    <row r="896" spans="13:13" ht="15.75" customHeight="1" x14ac:dyDescent="0.25">
      <c r="M896" s="1"/>
    </row>
    <row r="897" spans="13:13" ht="15.75" customHeight="1" x14ac:dyDescent="0.25">
      <c r="M897" s="1"/>
    </row>
    <row r="898" spans="13:13" ht="15.75" customHeight="1" x14ac:dyDescent="0.25">
      <c r="M898" s="1"/>
    </row>
    <row r="899" spans="13:13" ht="15.75" customHeight="1" x14ac:dyDescent="0.25">
      <c r="M899" s="1"/>
    </row>
    <row r="900" spans="13:13" ht="15.75" customHeight="1" x14ac:dyDescent="0.25">
      <c r="M900" s="1"/>
    </row>
    <row r="901" spans="13:13" ht="15.75" customHeight="1" x14ac:dyDescent="0.25">
      <c r="M901" s="1"/>
    </row>
    <row r="902" spans="13:13" ht="15.75" customHeight="1" x14ac:dyDescent="0.25">
      <c r="M902" s="1"/>
    </row>
    <row r="903" spans="13:13" ht="15.75" customHeight="1" x14ac:dyDescent="0.25">
      <c r="M903" s="1"/>
    </row>
    <row r="904" spans="13:13" ht="15.75" customHeight="1" x14ac:dyDescent="0.25">
      <c r="M904" s="1"/>
    </row>
    <row r="905" spans="13:13" ht="15.75" customHeight="1" x14ac:dyDescent="0.25">
      <c r="M905" s="1"/>
    </row>
    <row r="906" spans="13:13" ht="15.75" customHeight="1" x14ac:dyDescent="0.25">
      <c r="M906" s="1"/>
    </row>
    <row r="907" spans="13:13" ht="15.75" customHeight="1" x14ac:dyDescent="0.25">
      <c r="M907" s="1"/>
    </row>
    <row r="908" spans="13:13" ht="15.75" customHeight="1" x14ac:dyDescent="0.25">
      <c r="M908" s="1"/>
    </row>
    <row r="909" spans="13:13" ht="15.75" customHeight="1" x14ac:dyDescent="0.25">
      <c r="M909" s="1"/>
    </row>
    <row r="910" spans="13:13" ht="15.75" customHeight="1" x14ac:dyDescent="0.25">
      <c r="M910" s="1"/>
    </row>
    <row r="911" spans="13:13" ht="15.75" customHeight="1" x14ac:dyDescent="0.25">
      <c r="M911" s="1"/>
    </row>
    <row r="912" spans="13:13" ht="15.75" customHeight="1" x14ac:dyDescent="0.25">
      <c r="M912" s="1"/>
    </row>
    <row r="913" spans="13:13" ht="15.75" customHeight="1" x14ac:dyDescent="0.25">
      <c r="M913" s="1"/>
    </row>
    <row r="914" spans="13:13" ht="15.75" customHeight="1" x14ac:dyDescent="0.25">
      <c r="M914" s="1"/>
    </row>
    <row r="915" spans="13:13" ht="15.75" customHeight="1" x14ac:dyDescent="0.25">
      <c r="M915" s="1"/>
    </row>
    <row r="916" spans="13:13" ht="15.75" customHeight="1" x14ac:dyDescent="0.25">
      <c r="M916" s="1"/>
    </row>
    <row r="917" spans="13:13" ht="15.75" customHeight="1" x14ac:dyDescent="0.25">
      <c r="M917" s="1"/>
    </row>
    <row r="918" spans="13:13" ht="15.75" customHeight="1" x14ac:dyDescent="0.25">
      <c r="M918" s="1"/>
    </row>
    <row r="919" spans="13:13" ht="15.75" customHeight="1" x14ac:dyDescent="0.25">
      <c r="M919" s="1"/>
    </row>
    <row r="920" spans="13:13" ht="15.75" customHeight="1" x14ac:dyDescent="0.25">
      <c r="M920" s="1"/>
    </row>
    <row r="921" spans="13:13" ht="15.75" customHeight="1" x14ac:dyDescent="0.25">
      <c r="M921" s="1"/>
    </row>
    <row r="922" spans="13:13" ht="15.75" customHeight="1" x14ac:dyDescent="0.25">
      <c r="M922" s="1"/>
    </row>
    <row r="923" spans="13:13" ht="15.75" customHeight="1" x14ac:dyDescent="0.25">
      <c r="M923" s="1"/>
    </row>
    <row r="924" spans="13:13" ht="15.75" customHeight="1" x14ac:dyDescent="0.25">
      <c r="M924" s="1"/>
    </row>
    <row r="925" spans="13:13" ht="15.75" customHeight="1" x14ac:dyDescent="0.25">
      <c r="M925" s="1"/>
    </row>
    <row r="926" spans="13:13" ht="15.75" customHeight="1" x14ac:dyDescent="0.25">
      <c r="M926" s="1"/>
    </row>
    <row r="927" spans="13:13" ht="15.75" customHeight="1" x14ac:dyDescent="0.25">
      <c r="M927" s="1"/>
    </row>
    <row r="928" spans="13:13" ht="15.75" customHeight="1" x14ac:dyDescent="0.25">
      <c r="M928" s="1"/>
    </row>
    <row r="929" spans="13:13" ht="15.75" customHeight="1" x14ac:dyDescent="0.25">
      <c r="M929" s="1"/>
    </row>
    <row r="930" spans="13:13" ht="15.75" customHeight="1" x14ac:dyDescent="0.25">
      <c r="M930" s="1"/>
    </row>
    <row r="931" spans="13:13" ht="15.75" customHeight="1" x14ac:dyDescent="0.25">
      <c r="M931" s="1"/>
    </row>
    <row r="932" spans="13:13" ht="15.75" customHeight="1" x14ac:dyDescent="0.25">
      <c r="M932" s="1"/>
    </row>
    <row r="933" spans="13:13" ht="15.75" customHeight="1" x14ac:dyDescent="0.25">
      <c r="M933" s="1"/>
    </row>
    <row r="934" spans="13:13" ht="15.75" customHeight="1" x14ac:dyDescent="0.25">
      <c r="M934" s="1"/>
    </row>
    <row r="935" spans="13:13" ht="15.75" customHeight="1" x14ac:dyDescent="0.25">
      <c r="M935" s="1"/>
    </row>
    <row r="936" spans="13:13" ht="15.75" customHeight="1" x14ac:dyDescent="0.25">
      <c r="M936" s="1"/>
    </row>
    <row r="937" spans="13:13" ht="15.75" customHeight="1" x14ac:dyDescent="0.25">
      <c r="M937" s="1"/>
    </row>
    <row r="938" spans="13:13" ht="15.75" customHeight="1" x14ac:dyDescent="0.25">
      <c r="M938" s="1"/>
    </row>
    <row r="939" spans="13:13" ht="15.75" customHeight="1" x14ac:dyDescent="0.25">
      <c r="M939" s="1"/>
    </row>
    <row r="940" spans="13:13" ht="15.75" customHeight="1" x14ac:dyDescent="0.25">
      <c r="M940" s="1"/>
    </row>
    <row r="941" spans="13:13" ht="15.75" customHeight="1" x14ac:dyDescent="0.25">
      <c r="M941" s="1"/>
    </row>
    <row r="942" spans="13:13" ht="15.75" customHeight="1" x14ac:dyDescent="0.25">
      <c r="M942" s="1"/>
    </row>
    <row r="943" spans="13:13" ht="15.75" customHeight="1" x14ac:dyDescent="0.25">
      <c r="M943" s="1"/>
    </row>
    <row r="944" spans="13:13" ht="15.75" customHeight="1" x14ac:dyDescent="0.25">
      <c r="M944" s="1"/>
    </row>
    <row r="945" spans="13:13" ht="15.75" customHeight="1" x14ac:dyDescent="0.25">
      <c r="M945" s="1"/>
    </row>
    <row r="946" spans="13:13" ht="15.75" customHeight="1" x14ac:dyDescent="0.25">
      <c r="M946" s="1"/>
    </row>
    <row r="947" spans="13:13" ht="15.75" customHeight="1" x14ac:dyDescent="0.25">
      <c r="M947" s="1"/>
    </row>
    <row r="948" spans="13:13" ht="15.75" customHeight="1" x14ac:dyDescent="0.25">
      <c r="M948" s="1"/>
    </row>
    <row r="949" spans="13:13" ht="15.75" customHeight="1" x14ac:dyDescent="0.25">
      <c r="M949" s="1"/>
    </row>
    <row r="950" spans="13:13" ht="15.75" customHeight="1" x14ac:dyDescent="0.25">
      <c r="M950" s="1"/>
    </row>
    <row r="951" spans="13:13" ht="15.75" customHeight="1" x14ac:dyDescent="0.25">
      <c r="M951" s="1"/>
    </row>
    <row r="952" spans="13:13" ht="15.75" customHeight="1" x14ac:dyDescent="0.25">
      <c r="M952" s="1"/>
    </row>
    <row r="953" spans="13:13" ht="15.75" customHeight="1" x14ac:dyDescent="0.25">
      <c r="M953" s="1"/>
    </row>
    <row r="954" spans="13:13" ht="15.75" customHeight="1" x14ac:dyDescent="0.25">
      <c r="M954" s="1"/>
    </row>
    <row r="955" spans="13:13" ht="15.75" customHeight="1" x14ac:dyDescent="0.25">
      <c r="M955" s="1"/>
    </row>
    <row r="956" spans="13:13" ht="15.75" customHeight="1" x14ac:dyDescent="0.25">
      <c r="M956" s="1"/>
    </row>
    <row r="957" spans="13:13" ht="15.75" customHeight="1" x14ac:dyDescent="0.25">
      <c r="M957" s="1"/>
    </row>
    <row r="958" spans="13:13" ht="15.75" customHeight="1" x14ac:dyDescent="0.25">
      <c r="M958" s="1"/>
    </row>
    <row r="959" spans="13:13" ht="15.75" customHeight="1" x14ac:dyDescent="0.25">
      <c r="M959" s="1"/>
    </row>
    <row r="960" spans="13:13" ht="15.75" customHeight="1" x14ac:dyDescent="0.25">
      <c r="M960" s="1"/>
    </row>
    <row r="961" spans="13:13" ht="15.75" customHeight="1" x14ac:dyDescent="0.25">
      <c r="M961" s="1"/>
    </row>
    <row r="962" spans="13:13" ht="15.75" customHeight="1" x14ac:dyDescent="0.25">
      <c r="M962" s="1"/>
    </row>
    <row r="963" spans="13:13" ht="15.75" customHeight="1" x14ac:dyDescent="0.25">
      <c r="M963" s="1"/>
    </row>
    <row r="964" spans="13:13" ht="15.75" customHeight="1" x14ac:dyDescent="0.25">
      <c r="M964" s="1"/>
    </row>
    <row r="965" spans="13:13" ht="15.75" customHeight="1" x14ac:dyDescent="0.25">
      <c r="M965" s="1"/>
    </row>
    <row r="966" spans="13:13" ht="15.75" customHeight="1" x14ac:dyDescent="0.25">
      <c r="M966" s="1"/>
    </row>
    <row r="967" spans="13:13" ht="15.75" customHeight="1" x14ac:dyDescent="0.25">
      <c r="M967" s="1"/>
    </row>
    <row r="968" spans="13:13" ht="15.75" customHeight="1" x14ac:dyDescent="0.25">
      <c r="M968" s="1"/>
    </row>
    <row r="969" spans="13:13" ht="15.75" customHeight="1" x14ac:dyDescent="0.25">
      <c r="M969" s="1"/>
    </row>
    <row r="970" spans="13:13" ht="15.75" customHeight="1" x14ac:dyDescent="0.25">
      <c r="M970" s="1"/>
    </row>
    <row r="971" spans="13:13" ht="15.75" customHeight="1" x14ac:dyDescent="0.25">
      <c r="M971" s="1"/>
    </row>
    <row r="972" spans="13:13" ht="15.75" customHeight="1" x14ac:dyDescent="0.25">
      <c r="M972" s="1"/>
    </row>
    <row r="973" spans="13:13" ht="15.75" customHeight="1" x14ac:dyDescent="0.25">
      <c r="M973" s="1"/>
    </row>
    <row r="974" spans="13:13" ht="15.75" customHeight="1" x14ac:dyDescent="0.25">
      <c r="M974" s="1"/>
    </row>
    <row r="975" spans="13:13" ht="15.75" customHeight="1" x14ac:dyDescent="0.25">
      <c r="M975" s="1"/>
    </row>
    <row r="976" spans="13:13" ht="15.75" customHeight="1" x14ac:dyDescent="0.25">
      <c r="M976" s="1"/>
    </row>
    <row r="977" spans="13:13" ht="15.75" customHeight="1" x14ac:dyDescent="0.25">
      <c r="M977" s="1"/>
    </row>
    <row r="978" spans="13:13" ht="15.75" customHeight="1" x14ac:dyDescent="0.25">
      <c r="M978" s="1"/>
    </row>
    <row r="979" spans="13:13" ht="15.75" customHeight="1" x14ac:dyDescent="0.25">
      <c r="M979" s="1"/>
    </row>
    <row r="980" spans="13:13" ht="15.75" customHeight="1" x14ac:dyDescent="0.25">
      <c r="M980" s="1"/>
    </row>
    <row r="981" spans="13:13" ht="15.75" customHeight="1" x14ac:dyDescent="0.25">
      <c r="M981" s="1"/>
    </row>
    <row r="982" spans="13:13" ht="15.75" customHeight="1" x14ac:dyDescent="0.25">
      <c r="M982" s="1"/>
    </row>
    <row r="983" spans="13:13" ht="15.75" customHeight="1" x14ac:dyDescent="0.25">
      <c r="M983" s="1"/>
    </row>
    <row r="984" spans="13:13" ht="15.75" customHeight="1" x14ac:dyDescent="0.25">
      <c r="M984" s="1"/>
    </row>
  </sheetData>
  <mergeCells count="4">
    <mergeCell ref="C2:D2"/>
    <mergeCell ref="A8:A9"/>
    <mergeCell ref="D8:E9"/>
    <mergeCell ref="C11:H11"/>
  </mergeCells>
  <dataValidations count="2">
    <dataValidation type="list" allowBlank="1" showInputMessage="1" showErrorMessage="1" sqref="H3" xr:uid="{00000000-0002-0000-0000-000000000000}">
      <formula1>"3,6"</formula1>
    </dataValidation>
    <dataValidation type="list" allowBlank="1" showInputMessage="1" showErrorMessage="1" sqref="F2 C2:D2" xr:uid="{00000000-0002-0000-0000-000001000000}">
      <formula1>DSTINHTP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Q1000"/>
  <sheetViews>
    <sheetView workbookViewId="0">
      <selection activeCell="D11" sqref="D11"/>
    </sheetView>
  </sheetViews>
  <sheetFormatPr defaultColWidth="12.625" defaultRowHeight="15" customHeight="1" x14ac:dyDescent="0.2"/>
  <cols>
    <col min="1" max="1" width="14.625" customWidth="1"/>
    <col min="2" max="2" width="10.25" customWidth="1"/>
    <col min="3" max="3" width="12.125" customWidth="1"/>
    <col min="4" max="4" width="12.875" customWidth="1"/>
    <col min="5" max="5" width="10" customWidth="1"/>
    <col min="6" max="6" width="11" customWidth="1"/>
    <col min="7" max="7" width="12.375" customWidth="1"/>
    <col min="8" max="8" width="10.625" hidden="1" customWidth="1"/>
    <col min="9" max="9" width="10.5" customWidth="1"/>
    <col min="10" max="10" width="9.5" customWidth="1"/>
    <col min="11" max="11" width="10" customWidth="1"/>
    <col min="12" max="12" width="3.5" customWidth="1"/>
    <col min="13" max="13" width="24.75" customWidth="1"/>
    <col min="14" max="14" width="13.125" customWidth="1"/>
    <col min="15" max="15" width="4.125" customWidth="1"/>
    <col min="16" max="16" width="24.75" customWidth="1"/>
    <col min="17" max="17" width="15.125" customWidth="1"/>
    <col min="18" max="27" width="10" customWidth="1"/>
  </cols>
  <sheetData>
    <row r="1" spans="1:17" x14ac:dyDescent="0.25">
      <c r="Q1" s="1"/>
    </row>
    <row r="2" spans="1:17" ht="17.25" customHeight="1" x14ac:dyDescent="0.25">
      <c r="C2" s="146" t="s">
        <v>0</v>
      </c>
      <c r="D2" s="140"/>
      <c r="Q2" s="1"/>
    </row>
    <row r="3" spans="1:17" ht="5.25" customHeight="1" x14ac:dyDescent="0.25">
      <c r="C3" s="2"/>
      <c r="D3" s="2"/>
      <c r="E3" s="3">
        <v>1</v>
      </c>
      <c r="Q3" s="1"/>
    </row>
    <row r="4" spans="1:17" x14ac:dyDescent="0.25">
      <c r="B4" s="4"/>
      <c r="Q4" s="1"/>
    </row>
    <row r="5" spans="1:17" ht="17.25" x14ac:dyDescent="0.3">
      <c r="B5" s="5" t="s">
        <v>1</v>
      </c>
      <c r="C5" s="6" t="str">
        <f>IF($E$3=1,OPTION_PARAMETER!$C$8,OPTION_PARAMETER!$C$9)</f>
        <v>VN2000- 3 degrees</v>
      </c>
      <c r="D5" s="6"/>
      <c r="F5" s="5" t="s">
        <v>2</v>
      </c>
      <c r="G5" s="6" t="str">
        <f>IF($E$3=1,OPTION_PARAMETER!$C$9,OPTION_PARAMETER!$C$8)</f>
        <v>UTM (WGS84)</v>
      </c>
      <c r="H5" s="6"/>
      <c r="I5" s="6"/>
      <c r="J5" s="6"/>
      <c r="O5" s="7" t="s">
        <v>3</v>
      </c>
      <c r="P5" s="8" t="s">
        <v>4</v>
      </c>
      <c r="Q5" s="9" t="s">
        <v>5</v>
      </c>
    </row>
    <row r="6" spans="1:17" ht="17.25" x14ac:dyDescent="0.3">
      <c r="O6" s="10">
        <v>1</v>
      </c>
      <c r="P6" s="11" t="s">
        <v>6</v>
      </c>
      <c r="Q6" s="12">
        <v>103</v>
      </c>
    </row>
    <row r="7" spans="1:17" ht="15" customHeight="1" x14ac:dyDescent="0.3">
      <c r="A7" s="147" t="s">
        <v>7</v>
      </c>
      <c r="B7" s="13" t="s">
        <v>8</v>
      </c>
      <c r="C7" s="96">
        <f>'AJS-Vn2000=&gt;LatLong'!C8</f>
        <v>568262.924</v>
      </c>
      <c r="D7" s="149"/>
      <c r="E7" s="140"/>
      <c r="F7" s="13" t="s">
        <v>8</v>
      </c>
      <c r="G7" s="96">
        <f>GEO_XY!C27</f>
        <v>923353.92606965429</v>
      </c>
      <c r="H7" s="15">
        <v>20.042878761221001</v>
      </c>
      <c r="I7" s="98"/>
      <c r="J7" s="16"/>
      <c r="O7" s="10">
        <v>2</v>
      </c>
      <c r="P7" s="11" t="s">
        <v>9</v>
      </c>
      <c r="Q7" s="12">
        <v>104</v>
      </c>
    </row>
    <row r="8" spans="1:17" ht="17.25" x14ac:dyDescent="0.3">
      <c r="A8" s="148"/>
      <c r="B8" s="13" t="s">
        <v>10</v>
      </c>
      <c r="C8" s="96">
        <f>'AJS-Vn2000=&gt;LatLong'!C9</f>
        <v>1255172.51</v>
      </c>
      <c r="D8" s="140"/>
      <c r="E8" s="140"/>
      <c r="F8" s="13" t="s">
        <v>10</v>
      </c>
      <c r="G8" s="96">
        <f>GEO_XY!C28</f>
        <v>1257430.625565046</v>
      </c>
      <c r="H8" s="15">
        <v>105.00187241008</v>
      </c>
      <c r="I8" s="98"/>
      <c r="J8" s="16"/>
      <c r="O8" s="10">
        <v>3</v>
      </c>
      <c r="P8" s="11" t="s">
        <v>11</v>
      </c>
      <c r="Q8" s="12">
        <v>104.5</v>
      </c>
    </row>
    <row r="9" spans="1:17" ht="17.25" x14ac:dyDescent="0.3">
      <c r="B9" s="13"/>
      <c r="F9" s="17"/>
      <c r="O9" s="10">
        <v>4</v>
      </c>
      <c r="P9" s="11" t="s">
        <v>12</v>
      </c>
      <c r="Q9" s="12">
        <v>104.5</v>
      </c>
    </row>
    <row r="10" spans="1:17" ht="17.25" x14ac:dyDescent="0.3">
      <c r="B10" s="150" t="s">
        <v>13</v>
      </c>
      <c r="C10" s="18" t="s">
        <v>14</v>
      </c>
      <c r="D10" s="19">
        <f>'AJS-Vn2000=&gt;LatLong'!H2</f>
        <v>108.25</v>
      </c>
      <c r="E10" s="4"/>
      <c r="F10" s="150" t="s">
        <v>13</v>
      </c>
      <c r="G10" s="18" t="s">
        <v>14</v>
      </c>
      <c r="H10" s="20"/>
      <c r="I10" s="21">
        <v>105</v>
      </c>
      <c r="K10" s="97"/>
      <c r="O10" s="10">
        <v>5</v>
      </c>
      <c r="P10" s="11" t="s">
        <v>15</v>
      </c>
      <c r="Q10" s="12">
        <v>104.75</v>
      </c>
    </row>
    <row r="11" spans="1:17" ht="17.25" x14ac:dyDescent="0.3">
      <c r="B11" s="151"/>
      <c r="C11" s="22" t="s">
        <v>16</v>
      </c>
      <c r="D11" s="23">
        <v>500000</v>
      </c>
      <c r="E11" s="4"/>
      <c r="F11" s="151"/>
      <c r="G11" s="22" t="s">
        <v>16</v>
      </c>
      <c r="H11" s="24"/>
      <c r="I11" s="23">
        <v>500000</v>
      </c>
      <c r="K11" s="97"/>
      <c r="O11" s="10">
        <v>6</v>
      </c>
      <c r="P11" s="11" t="s">
        <v>17</v>
      </c>
      <c r="Q11" s="12">
        <v>104.75</v>
      </c>
    </row>
    <row r="12" spans="1:17" ht="17.25" x14ac:dyDescent="0.3">
      <c r="B12" s="151"/>
      <c r="C12" s="22" t="s">
        <v>18</v>
      </c>
      <c r="D12" s="23">
        <v>0</v>
      </c>
      <c r="E12" s="4"/>
      <c r="F12" s="151"/>
      <c r="G12" s="22" t="s">
        <v>18</v>
      </c>
      <c r="H12" s="24"/>
      <c r="I12" s="23">
        <v>0</v>
      </c>
      <c r="O12" s="10">
        <v>7</v>
      </c>
      <c r="P12" s="11" t="s">
        <v>19</v>
      </c>
      <c r="Q12" s="12">
        <v>104.75</v>
      </c>
    </row>
    <row r="13" spans="1:17" ht="17.25" x14ac:dyDescent="0.3">
      <c r="B13" s="151"/>
      <c r="C13" s="25" t="s">
        <v>20</v>
      </c>
      <c r="D13" s="26">
        <v>0.99990000000000001</v>
      </c>
      <c r="E13" s="4"/>
      <c r="F13" s="151"/>
      <c r="G13" s="25" t="s">
        <v>20</v>
      </c>
      <c r="H13" s="27"/>
      <c r="I13" s="26">
        <v>0.99960000000000004</v>
      </c>
      <c r="O13" s="10">
        <v>8</v>
      </c>
      <c r="P13" s="11" t="s">
        <v>21</v>
      </c>
      <c r="Q13" s="12">
        <v>104.75</v>
      </c>
    </row>
    <row r="14" spans="1:17" ht="17.25" x14ac:dyDescent="0.3">
      <c r="B14" s="13"/>
      <c r="C14" s="4"/>
      <c r="D14" s="4"/>
      <c r="E14" s="4"/>
      <c r="F14" s="17"/>
      <c r="G14" s="4"/>
      <c r="H14" s="4"/>
      <c r="I14" s="4"/>
      <c r="O14" s="10">
        <v>9</v>
      </c>
      <c r="P14" s="11" t="s">
        <v>22</v>
      </c>
      <c r="Q14" s="12">
        <v>104.75</v>
      </c>
    </row>
    <row r="15" spans="1:17" ht="17.25" x14ac:dyDescent="0.3">
      <c r="B15" s="152" t="s">
        <v>23</v>
      </c>
      <c r="C15" s="153" t="s">
        <v>24</v>
      </c>
      <c r="D15" s="154"/>
      <c r="E15" s="4"/>
      <c r="F15" s="152" t="s">
        <v>23</v>
      </c>
      <c r="G15" s="153" t="s">
        <v>24</v>
      </c>
      <c r="H15" s="155"/>
      <c r="I15" s="154"/>
      <c r="O15" s="10">
        <v>10</v>
      </c>
      <c r="P15" s="11" t="s">
        <v>25</v>
      </c>
      <c r="Q15" s="12">
        <v>105</v>
      </c>
    </row>
    <row r="16" spans="1:17" ht="17.25" x14ac:dyDescent="0.3">
      <c r="B16" s="140"/>
      <c r="C16" s="28" t="s">
        <v>26</v>
      </c>
      <c r="D16" s="29">
        <v>6378137</v>
      </c>
      <c r="E16" s="4"/>
      <c r="F16" s="140"/>
      <c r="G16" s="28" t="s">
        <v>26</v>
      </c>
      <c r="H16" s="30"/>
      <c r="I16" s="31">
        <v>6378137</v>
      </c>
      <c r="O16" s="10">
        <v>11</v>
      </c>
      <c r="P16" s="11" t="s">
        <v>27</v>
      </c>
      <c r="Q16" s="12">
        <v>105</v>
      </c>
    </row>
    <row r="17" spans="1:17" ht="17.25" x14ac:dyDescent="0.3">
      <c r="B17" s="140"/>
      <c r="C17" s="28" t="s">
        <v>28</v>
      </c>
      <c r="D17" s="29">
        <v>6356752.3142449642</v>
      </c>
      <c r="E17" s="4"/>
      <c r="F17" s="140"/>
      <c r="G17" s="28" t="s">
        <v>28</v>
      </c>
      <c r="H17" s="30"/>
      <c r="I17" s="31">
        <v>6356752.3142449642</v>
      </c>
      <c r="O17" s="10">
        <v>12</v>
      </c>
      <c r="P17" s="11" t="s">
        <v>29</v>
      </c>
      <c r="Q17" s="12">
        <v>105</v>
      </c>
    </row>
    <row r="18" spans="1:17" ht="17.25" x14ac:dyDescent="0.3">
      <c r="B18" s="140"/>
      <c r="C18" s="32" t="s">
        <v>30</v>
      </c>
      <c r="D18" s="33">
        <v>298.25722356</v>
      </c>
      <c r="E18" s="4"/>
      <c r="F18" s="140"/>
      <c r="G18" s="32" t="s">
        <v>30</v>
      </c>
      <c r="H18" s="34"/>
      <c r="I18" s="33">
        <v>298.25722356</v>
      </c>
      <c r="O18" s="10">
        <v>13</v>
      </c>
      <c r="P18" s="11" t="s">
        <v>31</v>
      </c>
      <c r="Q18" s="12">
        <v>105</v>
      </c>
    </row>
    <row r="19" spans="1:17" ht="17.25" x14ac:dyDescent="0.3">
      <c r="O19" s="10">
        <v>14</v>
      </c>
      <c r="P19" s="11" t="s">
        <v>32</v>
      </c>
      <c r="Q19" s="12">
        <v>105</v>
      </c>
    </row>
    <row r="20" spans="1:17" ht="17.25" x14ac:dyDescent="0.3">
      <c r="O20" s="10">
        <v>15</v>
      </c>
      <c r="P20" s="11" t="s">
        <v>33</v>
      </c>
      <c r="Q20" s="12">
        <v>105</v>
      </c>
    </row>
    <row r="21" spans="1:17" ht="15.75" customHeight="1" x14ac:dyDescent="0.3">
      <c r="C21" s="35"/>
      <c r="O21" s="10">
        <v>16</v>
      </c>
      <c r="P21" s="11" t="s">
        <v>34</v>
      </c>
      <c r="Q21" s="12">
        <v>105</v>
      </c>
    </row>
    <row r="22" spans="1:17" ht="15.75" customHeight="1" x14ac:dyDescent="0.3">
      <c r="B22" s="156" t="s">
        <v>35</v>
      </c>
      <c r="C22" s="155"/>
      <c r="D22" s="155"/>
      <c r="E22" s="155"/>
      <c r="F22" s="155"/>
      <c r="G22" s="155"/>
      <c r="H22" s="155"/>
      <c r="I22" s="154"/>
      <c r="O22" s="10">
        <v>17</v>
      </c>
      <c r="P22" s="11" t="s">
        <v>36</v>
      </c>
      <c r="Q22" s="12">
        <v>105</v>
      </c>
    </row>
    <row r="23" spans="1:17" ht="15.75" customHeight="1" x14ac:dyDescent="0.3">
      <c r="B23" s="36" t="s">
        <v>37</v>
      </c>
      <c r="C23" s="37" t="s">
        <v>38</v>
      </c>
      <c r="D23" s="37" t="s">
        <v>39</v>
      </c>
      <c r="E23" s="37" t="s">
        <v>40</v>
      </c>
      <c r="F23" s="37" t="s">
        <v>41</v>
      </c>
      <c r="G23" s="37" t="s">
        <v>42</v>
      </c>
      <c r="H23" s="38"/>
      <c r="I23" s="39" t="s">
        <v>43</v>
      </c>
      <c r="O23" s="10">
        <v>18</v>
      </c>
      <c r="P23" s="11" t="s">
        <v>44</v>
      </c>
      <c r="Q23" s="12">
        <v>105</v>
      </c>
    </row>
    <row r="24" spans="1:17" ht="15.75" customHeight="1" x14ac:dyDescent="0.3">
      <c r="B24" s="40">
        <f>IF($E$3=1,OPTION_PARAMETER!$E$3,OPTION_PARAMETER!$E$4)</f>
        <v>-191.90441429000001</v>
      </c>
      <c r="C24" s="41">
        <f>IF($E$3=1,OPTION_PARAMETER!$F$3,OPTION_PARAMETER!$F$4)</f>
        <v>-39.303182790000001</v>
      </c>
      <c r="D24" s="41">
        <f>IF($E$3=1,OPTION_PARAMETER!$G$3,OPTION_PARAMETER!$G$4)</f>
        <v>-111.4503283</v>
      </c>
      <c r="E24" s="41">
        <f>IF($E$3=1,OPTION_PARAMETER!$H$3,OPTION_PARAMETER!$H$4)</f>
        <v>-9.2883600000000007E-3</v>
      </c>
      <c r="F24" s="41">
        <f>IF($E$3=1,OPTION_PARAMETER!$I$3,OPTION_PARAMETER!$I$4)</f>
        <v>1.9754790000000001E-2</v>
      </c>
      <c r="G24" s="41">
        <f>IF($E$3=1,OPTION_PARAMETER!$J$3,OPTION_PARAMETER!$J$4)</f>
        <v>-4.2737199999999999E-3</v>
      </c>
      <c r="H24" s="42"/>
      <c r="I24" s="43">
        <f>IF($E$3=1,OPTION_PARAMETER!$K$3,OPTION_PARAMETER!$K$4)</f>
        <v>2.52906277E-7</v>
      </c>
      <c r="K24" s="4"/>
      <c r="O24" s="10">
        <v>19</v>
      </c>
      <c r="P24" s="11" t="s">
        <v>45</v>
      </c>
      <c r="Q24" s="12">
        <v>105.5</v>
      </c>
    </row>
    <row r="25" spans="1:17" ht="15.75" customHeight="1" x14ac:dyDescent="0.3">
      <c r="O25" s="10">
        <v>20</v>
      </c>
      <c r="P25" s="11" t="s">
        <v>46</v>
      </c>
      <c r="Q25" s="12">
        <v>105.5</v>
      </c>
    </row>
    <row r="26" spans="1:17" ht="15.75" customHeight="1" x14ac:dyDescent="0.3">
      <c r="O26" s="10">
        <v>21</v>
      </c>
      <c r="P26" s="11" t="s">
        <v>47</v>
      </c>
      <c r="Q26" s="12">
        <v>105.5</v>
      </c>
    </row>
    <row r="27" spans="1:17" ht="15.75" customHeight="1" x14ac:dyDescent="0.3">
      <c r="O27" s="10">
        <v>22</v>
      </c>
      <c r="P27" s="11" t="s">
        <v>48</v>
      </c>
      <c r="Q27" s="12">
        <v>105.5</v>
      </c>
    </row>
    <row r="28" spans="1:17" ht="21" customHeight="1" x14ac:dyDescent="0.3">
      <c r="B28" s="157"/>
      <c r="C28" s="158"/>
      <c r="D28" s="158"/>
      <c r="E28" s="158"/>
      <c r="F28" s="158"/>
      <c r="G28" s="158"/>
      <c r="H28" s="158"/>
      <c r="I28" s="159"/>
      <c r="O28" s="10">
        <v>23</v>
      </c>
      <c r="P28" s="11" t="s">
        <v>49</v>
      </c>
      <c r="Q28" s="12">
        <v>105.5</v>
      </c>
    </row>
    <row r="29" spans="1:17" ht="15.75" customHeight="1" x14ac:dyDescent="0.3">
      <c r="B29" s="139"/>
      <c r="C29" s="140"/>
      <c r="D29" s="140"/>
      <c r="E29" s="140"/>
      <c r="F29" s="140"/>
      <c r="G29" s="140"/>
      <c r="H29" s="140"/>
      <c r="I29" s="140"/>
      <c r="J29" s="44"/>
      <c r="O29" s="10">
        <v>24</v>
      </c>
      <c r="P29" s="11" t="s">
        <v>50</v>
      </c>
      <c r="Q29" s="12">
        <v>105.5</v>
      </c>
    </row>
    <row r="30" spans="1:17" ht="15.75" customHeight="1" x14ac:dyDescent="0.3">
      <c r="B30" s="139"/>
      <c r="C30" s="140"/>
      <c r="D30" s="140"/>
      <c r="E30" s="140"/>
      <c r="F30" s="140"/>
      <c r="G30" s="140"/>
      <c r="H30" s="140"/>
      <c r="I30" s="140"/>
      <c r="J30" s="44"/>
      <c r="O30" s="10">
        <v>25</v>
      </c>
      <c r="P30" s="11" t="s">
        <v>51</v>
      </c>
      <c r="Q30" s="12">
        <v>105.5</v>
      </c>
    </row>
    <row r="31" spans="1:17" ht="15.75" customHeight="1" x14ac:dyDescent="0.3">
      <c r="B31" s="45"/>
      <c r="I31" s="46"/>
      <c r="J31" s="44"/>
      <c r="O31" s="10">
        <v>26</v>
      </c>
      <c r="P31" s="11" t="s">
        <v>52</v>
      </c>
      <c r="Q31" s="12">
        <v>105.5</v>
      </c>
    </row>
    <row r="32" spans="1:17" ht="15.75" customHeight="1" x14ac:dyDescent="0.3">
      <c r="A32" s="46"/>
      <c r="B32" s="141"/>
      <c r="C32" s="140"/>
      <c r="D32" s="140"/>
      <c r="E32" s="140"/>
      <c r="F32" s="140"/>
      <c r="G32" s="140"/>
      <c r="H32" s="140"/>
      <c r="I32" s="142"/>
      <c r="O32" s="10">
        <v>27</v>
      </c>
      <c r="P32" s="11" t="s">
        <v>53</v>
      </c>
      <c r="Q32" s="12">
        <v>105.5</v>
      </c>
    </row>
    <row r="33" spans="2:17" ht="15.75" customHeight="1" x14ac:dyDescent="0.3">
      <c r="B33" s="143"/>
      <c r="C33" s="144"/>
      <c r="D33" s="144"/>
      <c r="E33" s="144"/>
      <c r="F33" s="144"/>
      <c r="G33" s="144"/>
      <c r="H33" s="144"/>
      <c r="I33" s="145"/>
      <c r="O33" s="10">
        <v>28</v>
      </c>
      <c r="P33" s="11" t="s">
        <v>54</v>
      </c>
      <c r="Q33" s="12">
        <v>105.5</v>
      </c>
    </row>
    <row r="34" spans="2:17" ht="15.75" customHeight="1" x14ac:dyDescent="0.3">
      <c r="B34" s="4"/>
      <c r="C34" s="4"/>
      <c r="D34" s="4"/>
      <c r="O34" s="10">
        <v>29</v>
      </c>
      <c r="P34" s="11" t="s">
        <v>55</v>
      </c>
      <c r="Q34" s="12">
        <v>105.5</v>
      </c>
    </row>
    <row r="35" spans="2:17" ht="15.75" customHeight="1" x14ac:dyDescent="0.3">
      <c r="O35" s="10">
        <v>30</v>
      </c>
      <c r="P35" s="11" t="s">
        <v>56</v>
      </c>
      <c r="Q35" s="12">
        <v>105.75</v>
      </c>
    </row>
    <row r="36" spans="2:17" ht="15.75" customHeight="1" x14ac:dyDescent="0.3">
      <c r="O36" s="10">
        <v>31</v>
      </c>
      <c r="P36" s="11" t="s">
        <v>57</v>
      </c>
      <c r="Q36" s="12">
        <v>105.75</v>
      </c>
    </row>
    <row r="37" spans="2:17" ht="15.75" customHeight="1" x14ac:dyDescent="0.3">
      <c r="O37" s="10">
        <v>32</v>
      </c>
      <c r="P37" s="11" t="s">
        <v>58</v>
      </c>
      <c r="Q37" s="12">
        <v>105.75</v>
      </c>
    </row>
    <row r="38" spans="2:17" ht="15.75" customHeight="1" x14ac:dyDescent="0.3">
      <c r="O38" s="10">
        <v>33</v>
      </c>
      <c r="P38" s="11" t="s">
        <v>59</v>
      </c>
      <c r="Q38" s="12">
        <v>105.75</v>
      </c>
    </row>
    <row r="39" spans="2:17" ht="15.75" customHeight="1" x14ac:dyDescent="0.3">
      <c r="C39" s="47"/>
      <c r="O39" s="10">
        <v>34</v>
      </c>
      <c r="P39" s="11" t="s">
        <v>60</v>
      </c>
      <c r="Q39" s="12">
        <v>105.75</v>
      </c>
    </row>
    <row r="40" spans="2:17" ht="15.75" customHeight="1" x14ac:dyDescent="0.3">
      <c r="O40" s="10">
        <v>35</v>
      </c>
      <c r="P40" s="11" t="s">
        <v>61</v>
      </c>
      <c r="Q40" s="12">
        <v>105.75</v>
      </c>
    </row>
    <row r="41" spans="2:17" ht="15.75" customHeight="1" x14ac:dyDescent="0.3">
      <c r="O41" s="10">
        <v>36</v>
      </c>
      <c r="P41" s="11" t="s">
        <v>62</v>
      </c>
      <c r="Q41" s="12">
        <v>105.75</v>
      </c>
    </row>
    <row r="42" spans="2:17" ht="15.75" customHeight="1" x14ac:dyDescent="0.3">
      <c r="O42" s="10">
        <v>37</v>
      </c>
      <c r="P42" s="11" t="s">
        <v>63</v>
      </c>
      <c r="Q42" s="12">
        <v>106</v>
      </c>
    </row>
    <row r="43" spans="2:17" ht="15.75" customHeight="1" x14ac:dyDescent="0.3">
      <c r="O43" s="10">
        <v>38</v>
      </c>
      <c r="P43" s="11" t="s">
        <v>64</v>
      </c>
      <c r="Q43" s="12">
        <v>106</v>
      </c>
    </row>
    <row r="44" spans="2:17" ht="15.75" customHeight="1" x14ac:dyDescent="0.3">
      <c r="O44" s="10">
        <v>39</v>
      </c>
      <c r="P44" s="11" t="s">
        <v>65</v>
      </c>
      <c r="Q44" s="12">
        <v>106</v>
      </c>
    </row>
    <row r="45" spans="2:17" ht="15.75" customHeight="1" x14ac:dyDescent="0.3">
      <c r="O45" s="10">
        <v>40</v>
      </c>
      <c r="P45" s="11" t="s">
        <v>66</v>
      </c>
      <c r="Q45" s="12">
        <v>106.25</v>
      </c>
    </row>
    <row r="46" spans="2:17" ht="15.75" customHeight="1" x14ac:dyDescent="0.3">
      <c r="O46" s="10">
        <v>41</v>
      </c>
      <c r="P46" s="11" t="s">
        <v>67</v>
      </c>
      <c r="Q46" s="12">
        <v>106.25</v>
      </c>
    </row>
    <row r="47" spans="2:17" ht="15.75" customHeight="1" x14ac:dyDescent="0.3">
      <c r="O47" s="10">
        <v>42</v>
      </c>
      <c r="P47" s="11" t="s">
        <v>68</v>
      </c>
      <c r="Q47" s="12">
        <v>106.5</v>
      </c>
    </row>
    <row r="48" spans="2:17" ht="15.75" customHeight="1" x14ac:dyDescent="0.3">
      <c r="O48" s="10">
        <v>43</v>
      </c>
      <c r="P48" s="11" t="s">
        <v>69</v>
      </c>
      <c r="Q48" s="12">
        <v>106.5</v>
      </c>
    </row>
    <row r="49" spans="15:17" ht="15.75" customHeight="1" x14ac:dyDescent="0.3">
      <c r="O49" s="10">
        <v>44</v>
      </c>
      <c r="P49" s="11" t="s">
        <v>70</v>
      </c>
      <c r="Q49" s="12">
        <v>107</v>
      </c>
    </row>
    <row r="50" spans="15:17" ht="15.75" customHeight="1" x14ac:dyDescent="0.3">
      <c r="O50" s="10">
        <v>45</v>
      </c>
      <c r="P50" s="11" t="s">
        <v>71</v>
      </c>
      <c r="Q50" s="12">
        <v>107</v>
      </c>
    </row>
    <row r="51" spans="15:17" ht="15.75" customHeight="1" x14ac:dyDescent="0.3">
      <c r="O51" s="10">
        <v>46</v>
      </c>
      <c r="P51" s="11" t="s">
        <v>72</v>
      </c>
      <c r="Q51" s="12">
        <v>107.25</v>
      </c>
    </row>
    <row r="52" spans="15:17" ht="15.75" customHeight="1" x14ac:dyDescent="0.3">
      <c r="O52" s="10">
        <v>47</v>
      </c>
      <c r="P52" s="11" t="s">
        <v>73</v>
      </c>
      <c r="Q52" s="12">
        <v>107.5</v>
      </c>
    </row>
    <row r="53" spans="15:17" ht="15.75" customHeight="1" x14ac:dyDescent="0.3">
      <c r="O53" s="10">
        <v>48</v>
      </c>
      <c r="P53" s="11" t="s">
        <v>74</v>
      </c>
      <c r="Q53" s="12">
        <v>107.75</v>
      </c>
    </row>
    <row r="54" spans="15:17" ht="15.75" customHeight="1" x14ac:dyDescent="0.3">
      <c r="O54" s="10">
        <v>49</v>
      </c>
      <c r="P54" s="11" t="s">
        <v>75</v>
      </c>
      <c r="Q54" s="12">
        <v>107.75</v>
      </c>
    </row>
    <row r="55" spans="15:17" ht="15.75" customHeight="1" x14ac:dyDescent="0.3">
      <c r="O55" s="10">
        <v>50</v>
      </c>
      <c r="P55" s="11" t="s">
        <v>76</v>
      </c>
      <c r="Q55" s="12">
        <v>107.75</v>
      </c>
    </row>
    <row r="56" spans="15:17" ht="15.75" customHeight="1" x14ac:dyDescent="0.3">
      <c r="O56" s="10">
        <v>51</v>
      </c>
      <c r="P56" s="11" t="s">
        <v>77</v>
      </c>
      <c r="Q56" s="12">
        <v>107.75</v>
      </c>
    </row>
    <row r="57" spans="15:17" ht="15.75" customHeight="1" x14ac:dyDescent="0.3">
      <c r="O57" s="10">
        <v>52</v>
      </c>
      <c r="P57" s="11" t="s">
        <v>78</v>
      </c>
      <c r="Q57" s="12">
        <v>107.75</v>
      </c>
    </row>
    <row r="58" spans="15:17" ht="15.75" customHeight="1" x14ac:dyDescent="0.3">
      <c r="O58" s="10">
        <v>53</v>
      </c>
      <c r="P58" s="11" t="s">
        <v>79</v>
      </c>
      <c r="Q58" s="12">
        <v>107.75</v>
      </c>
    </row>
    <row r="59" spans="15:17" ht="15.75" customHeight="1" x14ac:dyDescent="0.3">
      <c r="O59" s="10">
        <v>54</v>
      </c>
      <c r="P59" s="11" t="s">
        <v>80</v>
      </c>
      <c r="Q59" s="12">
        <v>108</v>
      </c>
    </row>
    <row r="60" spans="15:17" ht="15.75" customHeight="1" x14ac:dyDescent="0.3">
      <c r="O60" s="10">
        <v>55</v>
      </c>
      <c r="P60" s="11" t="s">
        <v>81</v>
      </c>
      <c r="Q60" s="12">
        <v>108.25</v>
      </c>
    </row>
    <row r="61" spans="15:17" ht="15.75" customHeight="1" x14ac:dyDescent="0.3">
      <c r="O61" s="10">
        <v>56</v>
      </c>
      <c r="P61" s="11" t="s">
        <v>82</v>
      </c>
      <c r="Q61" s="12">
        <v>108.25</v>
      </c>
    </row>
    <row r="62" spans="15:17" ht="15.75" customHeight="1" x14ac:dyDescent="0.3">
      <c r="O62" s="10">
        <v>57</v>
      </c>
      <c r="P62" s="11" t="s">
        <v>83</v>
      </c>
      <c r="Q62" s="12">
        <v>108.25</v>
      </c>
    </row>
    <row r="63" spans="15:17" ht="15.75" customHeight="1" x14ac:dyDescent="0.3">
      <c r="O63" s="10">
        <v>58</v>
      </c>
      <c r="P63" s="11" t="s">
        <v>84</v>
      </c>
      <c r="Q63" s="12">
        <v>108.5</v>
      </c>
    </row>
    <row r="64" spans="15:17" ht="15.75" customHeight="1" x14ac:dyDescent="0.3">
      <c r="O64" s="10">
        <v>59</v>
      </c>
      <c r="P64" s="11" t="s">
        <v>85</v>
      </c>
      <c r="Q64" s="12">
        <v>108.5</v>
      </c>
    </row>
    <row r="65" spans="15:17" ht="15.75" customHeight="1" x14ac:dyDescent="0.3">
      <c r="O65" s="10">
        <v>60</v>
      </c>
      <c r="P65" s="11" t="s">
        <v>86</v>
      </c>
      <c r="Q65" s="12">
        <v>108.5</v>
      </c>
    </row>
    <row r="66" spans="15:17" ht="15.75" customHeight="1" x14ac:dyDescent="0.3">
      <c r="O66" s="10">
        <v>61</v>
      </c>
      <c r="P66" s="11" t="s">
        <v>87</v>
      </c>
      <c r="Q66" s="12">
        <v>108.5</v>
      </c>
    </row>
    <row r="67" spans="15:17" ht="15.75" customHeight="1" x14ac:dyDescent="0.25">
      <c r="Q67" s="1"/>
    </row>
    <row r="68" spans="15:17" ht="15.75" customHeight="1" x14ac:dyDescent="0.25">
      <c r="Q68" s="1"/>
    </row>
    <row r="69" spans="15:17" ht="15.75" customHeight="1" x14ac:dyDescent="0.25">
      <c r="Q69" s="1"/>
    </row>
    <row r="70" spans="15:17" ht="15.75" customHeight="1" x14ac:dyDescent="0.25">
      <c r="Q70" s="1"/>
    </row>
    <row r="71" spans="15:17" ht="15.75" customHeight="1" x14ac:dyDescent="0.25">
      <c r="Q71" s="1"/>
    </row>
    <row r="72" spans="15:17" ht="15.75" customHeight="1" x14ac:dyDescent="0.25">
      <c r="Q72" s="1"/>
    </row>
    <row r="73" spans="15:17" ht="15.75" customHeight="1" x14ac:dyDescent="0.25">
      <c r="Q73" s="1"/>
    </row>
    <row r="74" spans="15:17" ht="15.75" customHeight="1" x14ac:dyDescent="0.25">
      <c r="Q74" s="1"/>
    </row>
    <row r="75" spans="15:17" ht="15.75" customHeight="1" x14ac:dyDescent="0.25">
      <c r="Q75" s="1"/>
    </row>
    <row r="76" spans="15:17" ht="15.75" customHeight="1" x14ac:dyDescent="0.25">
      <c r="Q76" s="1"/>
    </row>
    <row r="77" spans="15:17" ht="15.75" customHeight="1" x14ac:dyDescent="0.25">
      <c r="Q77" s="1"/>
    </row>
    <row r="78" spans="15:17" ht="15.75" customHeight="1" x14ac:dyDescent="0.25">
      <c r="Q78" s="1"/>
    </row>
    <row r="79" spans="15:17" ht="15.75" customHeight="1" x14ac:dyDescent="0.25">
      <c r="Q79" s="1"/>
    </row>
    <row r="80" spans="15:17" ht="15.75" customHeight="1" x14ac:dyDescent="0.25">
      <c r="Q80" s="1"/>
    </row>
    <row r="81" spans="17:17" ht="15.75" customHeight="1" x14ac:dyDescent="0.25">
      <c r="Q81" s="1"/>
    </row>
    <row r="82" spans="17:17" ht="15.75" customHeight="1" x14ac:dyDescent="0.25">
      <c r="Q82" s="1"/>
    </row>
    <row r="83" spans="17:17" ht="15.75" customHeight="1" x14ac:dyDescent="0.25">
      <c r="Q83" s="1"/>
    </row>
    <row r="84" spans="17:17" ht="15.75" customHeight="1" x14ac:dyDescent="0.25">
      <c r="Q84" s="1"/>
    </row>
    <row r="85" spans="17:17" ht="15.75" customHeight="1" x14ac:dyDescent="0.25">
      <c r="Q85" s="1"/>
    </row>
    <row r="86" spans="17:17" ht="15.75" customHeight="1" x14ac:dyDescent="0.25">
      <c r="Q86" s="1"/>
    </row>
    <row r="87" spans="17:17" ht="15.75" customHeight="1" x14ac:dyDescent="0.25">
      <c r="Q87" s="1"/>
    </row>
    <row r="88" spans="17:17" ht="15.75" customHeight="1" x14ac:dyDescent="0.25">
      <c r="Q88" s="1"/>
    </row>
    <row r="89" spans="17:17" ht="15.75" customHeight="1" x14ac:dyDescent="0.25">
      <c r="Q89" s="1"/>
    </row>
    <row r="90" spans="17:17" ht="15.75" customHeight="1" x14ac:dyDescent="0.25">
      <c r="Q90" s="1"/>
    </row>
    <row r="91" spans="17:17" ht="15.75" customHeight="1" x14ac:dyDescent="0.25">
      <c r="Q91" s="1"/>
    </row>
    <row r="92" spans="17:17" ht="15.75" customHeight="1" x14ac:dyDescent="0.25">
      <c r="Q92" s="1"/>
    </row>
    <row r="93" spans="17:17" ht="15.75" customHeight="1" x14ac:dyDescent="0.25">
      <c r="Q93" s="1"/>
    </row>
    <row r="94" spans="17:17" ht="15.75" customHeight="1" x14ac:dyDescent="0.25">
      <c r="Q94" s="1"/>
    </row>
    <row r="95" spans="17:17" ht="15.75" customHeight="1" x14ac:dyDescent="0.25">
      <c r="Q95" s="1"/>
    </row>
    <row r="96" spans="17:17" ht="15.75" customHeight="1" x14ac:dyDescent="0.25">
      <c r="Q96" s="1"/>
    </row>
    <row r="97" spans="17:17" ht="15.75" customHeight="1" x14ac:dyDescent="0.25">
      <c r="Q97" s="1"/>
    </row>
    <row r="98" spans="17:17" ht="15.75" customHeight="1" x14ac:dyDescent="0.25">
      <c r="Q98" s="1"/>
    </row>
    <row r="99" spans="17:17" ht="15.75" customHeight="1" x14ac:dyDescent="0.25">
      <c r="Q99" s="1"/>
    </row>
    <row r="100" spans="17:17" ht="15.75" customHeight="1" x14ac:dyDescent="0.25">
      <c r="Q100" s="1"/>
    </row>
    <row r="101" spans="17:17" ht="15.75" customHeight="1" x14ac:dyDescent="0.25">
      <c r="Q101" s="1"/>
    </row>
    <row r="102" spans="17:17" ht="15.75" customHeight="1" x14ac:dyDescent="0.25">
      <c r="Q102" s="1"/>
    </row>
    <row r="103" spans="17:17" ht="15.75" customHeight="1" x14ac:dyDescent="0.25">
      <c r="Q103" s="1"/>
    </row>
    <row r="104" spans="17:17" ht="15.75" customHeight="1" x14ac:dyDescent="0.25">
      <c r="Q104" s="1"/>
    </row>
    <row r="105" spans="17:17" ht="15.75" customHeight="1" x14ac:dyDescent="0.25">
      <c r="Q105" s="1"/>
    </row>
    <row r="106" spans="17:17" ht="15.75" customHeight="1" x14ac:dyDescent="0.25">
      <c r="Q106" s="1"/>
    </row>
    <row r="107" spans="17:17" ht="15.75" customHeight="1" x14ac:dyDescent="0.25">
      <c r="Q107" s="1"/>
    </row>
    <row r="108" spans="17:17" ht="15.75" customHeight="1" x14ac:dyDescent="0.25">
      <c r="Q108" s="1"/>
    </row>
    <row r="109" spans="17:17" ht="15.75" customHeight="1" x14ac:dyDescent="0.25">
      <c r="Q109" s="1"/>
    </row>
    <row r="110" spans="17:17" ht="15.75" customHeight="1" x14ac:dyDescent="0.25">
      <c r="Q110" s="1"/>
    </row>
    <row r="111" spans="17:17" ht="15.75" customHeight="1" x14ac:dyDescent="0.25">
      <c r="Q111" s="1"/>
    </row>
    <row r="112" spans="17:17" ht="15.75" customHeight="1" x14ac:dyDescent="0.25">
      <c r="Q112" s="1"/>
    </row>
    <row r="113" spans="17:17" ht="15.75" customHeight="1" x14ac:dyDescent="0.25">
      <c r="Q113" s="1"/>
    </row>
    <row r="114" spans="17:17" ht="15.75" customHeight="1" x14ac:dyDescent="0.25">
      <c r="Q114" s="1"/>
    </row>
    <row r="115" spans="17:17" ht="15.75" customHeight="1" x14ac:dyDescent="0.25">
      <c r="Q115" s="1"/>
    </row>
    <row r="116" spans="17:17" ht="15.75" customHeight="1" x14ac:dyDescent="0.25">
      <c r="Q116" s="1"/>
    </row>
    <row r="117" spans="17:17" ht="15.75" customHeight="1" x14ac:dyDescent="0.25">
      <c r="Q117" s="1"/>
    </row>
    <row r="118" spans="17:17" ht="15.75" customHeight="1" x14ac:dyDescent="0.25">
      <c r="Q118" s="1"/>
    </row>
    <row r="119" spans="17:17" ht="15.75" customHeight="1" x14ac:dyDescent="0.25">
      <c r="Q119" s="1"/>
    </row>
    <row r="120" spans="17:17" ht="15.75" customHeight="1" x14ac:dyDescent="0.25">
      <c r="Q120" s="1"/>
    </row>
    <row r="121" spans="17:17" ht="15.75" customHeight="1" x14ac:dyDescent="0.25">
      <c r="Q121" s="1"/>
    </row>
    <row r="122" spans="17:17" ht="15.75" customHeight="1" x14ac:dyDescent="0.25">
      <c r="Q122" s="1"/>
    </row>
    <row r="123" spans="17:17" ht="15.75" customHeight="1" x14ac:dyDescent="0.25">
      <c r="Q123" s="1"/>
    </row>
    <row r="124" spans="17:17" ht="15.75" customHeight="1" x14ac:dyDescent="0.25">
      <c r="Q124" s="1"/>
    </row>
    <row r="125" spans="17:17" ht="15.75" customHeight="1" x14ac:dyDescent="0.25">
      <c r="Q125" s="1"/>
    </row>
    <row r="126" spans="17:17" ht="15.75" customHeight="1" x14ac:dyDescent="0.25">
      <c r="Q126" s="1"/>
    </row>
    <row r="127" spans="17:17" ht="15.75" customHeight="1" x14ac:dyDescent="0.25">
      <c r="Q127" s="1"/>
    </row>
    <row r="128" spans="17:17" ht="15.75" customHeight="1" x14ac:dyDescent="0.25">
      <c r="Q128" s="1"/>
    </row>
    <row r="129" spans="17:17" ht="15.75" customHeight="1" x14ac:dyDescent="0.25">
      <c r="Q129" s="1"/>
    </row>
    <row r="130" spans="17:17" ht="15.75" customHeight="1" x14ac:dyDescent="0.25">
      <c r="Q130" s="1"/>
    </row>
    <row r="131" spans="17:17" ht="15.75" customHeight="1" x14ac:dyDescent="0.25">
      <c r="Q131" s="1"/>
    </row>
    <row r="132" spans="17:17" ht="15.75" customHeight="1" x14ac:dyDescent="0.25">
      <c r="Q132" s="1"/>
    </row>
    <row r="133" spans="17:17" ht="15.75" customHeight="1" x14ac:dyDescent="0.25">
      <c r="Q133" s="1"/>
    </row>
    <row r="134" spans="17:17" ht="15.75" customHeight="1" x14ac:dyDescent="0.25">
      <c r="Q134" s="1"/>
    </row>
    <row r="135" spans="17:17" ht="15.75" customHeight="1" x14ac:dyDescent="0.25">
      <c r="Q135" s="1"/>
    </row>
    <row r="136" spans="17:17" ht="15.75" customHeight="1" x14ac:dyDescent="0.25">
      <c r="Q136" s="1"/>
    </row>
    <row r="137" spans="17:17" ht="15.75" customHeight="1" x14ac:dyDescent="0.25">
      <c r="Q137" s="1"/>
    </row>
    <row r="138" spans="17:17" ht="15.75" customHeight="1" x14ac:dyDescent="0.25">
      <c r="Q138" s="1"/>
    </row>
    <row r="139" spans="17:17" ht="15.75" customHeight="1" x14ac:dyDescent="0.25">
      <c r="Q139" s="1"/>
    </row>
    <row r="140" spans="17:17" ht="15.75" customHeight="1" x14ac:dyDescent="0.25">
      <c r="Q140" s="1"/>
    </row>
    <row r="141" spans="17:17" ht="15.75" customHeight="1" x14ac:dyDescent="0.25">
      <c r="Q141" s="1"/>
    </row>
    <row r="142" spans="17:17" ht="15.75" customHeight="1" x14ac:dyDescent="0.25">
      <c r="Q142" s="1"/>
    </row>
    <row r="143" spans="17:17" ht="15.75" customHeight="1" x14ac:dyDescent="0.25">
      <c r="Q143" s="1"/>
    </row>
    <row r="144" spans="17:17" ht="15.75" customHeight="1" x14ac:dyDescent="0.25">
      <c r="Q144" s="1"/>
    </row>
    <row r="145" spans="17:17" ht="15.75" customHeight="1" x14ac:dyDescent="0.25">
      <c r="Q145" s="1"/>
    </row>
    <row r="146" spans="17:17" ht="15.75" customHeight="1" x14ac:dyDescent="0.25">
      <c r="Q146" s="1"/>
    </row>
    <row r="147" spans="17:17" ht="15.75" customHeight="1" x14ac:dyDescent="0.25">
      <c r="Q147" s="1"/>
    </row>
    <row r="148" spans="17:17" ht="15.75" customHeight="1" x14ac:dyDescent="0.25">
      <c r="Q148" s="1"/>
    </row>
    <row r="149" spans="17:17" ht="15.75" customHeight="1" x14ac:dyDescent="0.25">
      <c r="Q149" s="1"/>
    </row>
    <row r="150" spans="17:17" ht="15.75" customHeight="1" x14ac:dyDescent="0.25">
      <c r="Q150" s="1"/>
    </row>
    <row r="151" spans="17:17" ht="15.75" customHeight="1" x14ac:dyDescent="0.25">
      <c r="Q151" s="1"/>
    </row>
    <row r="152" spans="17:17" ht="15.75" customHeight="1" x14ac:dyDescent="0.25">
      <c r="Q152" s="1"/>
    </row>
    <row r="153" spans="17:17" ht="15.75" customHeight="1" x14ac:dyDescent="0.25">
      <c r="Q153" s="1"/>
    </row>
    <row r="154" spans="17:17" ht="15.75" customHeight="1" x14ac:dyDescent="0.25">
      <c r="Q154" s="1"/>
    </row>
    <row r="155" spans="17:17" ht="15.75" customHeight="1" x14ac:dyDescent="0.25">
      <c r="Q155" s="1"/>
    </row>
    <row r="156" spans="17:17" ht="15.75" customHeight="1" x14ac:dyDescent="0.25">
      <c r="Q156" s="1"/>
    </row>
    <row r="157" spans="17:17" ht="15.75" customHeight="1" x14ac:dyDescent="0.25">
      <c r="Q157" s="1"/>
    </row>
    <row r="158" spans="17:17" ht="15.75" customHeight="1" x14ac:dyDescent="0.25">
      <c r="Q158" s="1"/>
    </row>
    <row r="159" spans="17:17" ht="15.75" customHeight="1" x14ac:dyDescent="0.25">
      <c r="Q159" s="1"/>
    </row>
    <row r="160" spans="17:17" ht="15.75" customHeight="1" x14ac:dyDescent="0.25">
      <c r="Q160" s="1"/>
    </row>
    <row r="161" spans="17:17" ht="15.75" customHeight="1" x14ac:dyDescent="0.25">
      <c r="Q161" s="1"/>
    </row>
    <row r="162" spans="17:17" ht="15.75" customHeight="1" x14ac:dyDescent="0.25">
      <c r="Q162" s="1"/>
    </row>
    <row r="163" spans="17:17" ht="15.75" customHeight="1" x14ac:dyDescent="0.25">
      <c r="Q163" s="1"/>
    </row>
    <row r="164" spans="17:17" ht="15.75" customHeight="1" x14ac:dyDescent="0.25">
      <c r="Q164" s="1"/>
    </row>
    <row r="165" spans="17:17" ht="15.75" customHeight="1" x14ac:dyDescent="0.25">
      <c r="Q165" s="1"/>
    </row>
    <row r="166" spans="17:17" ht="15.75" customHeight="1" x14ac:dyDescent="0.25">
      <c r="Q166" s="1"/>
    </row>
    <row r="167" spans="17:17" ht="15.75" customHeight="1" x14ac:dyDescent="0.25">
      <c r="Q167" s="1"/>
    </row>
    <row r="168" spans="17:17" ht="15.75" customHeight="1" x14ac:dyDescent="0.25">
      <c r="Q168" s="1"/>
    </row>
    <row r="169" spans="17:17" ht="15.75" customHeight="1" x14ac:dyDescent="0.25">
      <c r="Q169" s="1"/>
    </row>
    <row r="170" spans="17:17" ht="15.75" customHeight="1" x14ac:dyDescent="0.25">
      <c r="Q170" s="1"/>
    </row>
    <row r="171" spans="17:17" ht="15.75" customHeight="1" x14ac:dyDescent="0.25">
      <c r="Q171" s="1"/>
    </row>
    <row r="172" spans="17:17" ht="15.75" customHeight="1" x14ac:dyDescent="0.25">
      <c r="Q172" s="1"/>
    </row>
    <row r="173" spans="17:17" ht="15.75" customHeight="1" x14ac:dyDescent="0.25">
      <c r="Q173" s="1"/>
    </row>
    <row r="174" spans="17:17" ht="15.75" customHeight="1" x14ac:dyDescent="0.25">
      <c r="Q174" s="1"/>
    </row>
    <row r="175" spans="17:17" ht="15.75" customHeight="1" x14ac:dyDescent="0.25">
      <c r="Q175" s="1"/>
    </row>
    <row r="176" spans="17:17" ht="15.75" customHeight="1" x14ac:dyDescent="0.25">
      <c r="Q176" s="1"/>
    </row>
    <row r="177" spans="17:17" ht="15.75" customHeight="1" x14ac:dyDescent="0.25">
      <c r="Q177" s="1"/>
    </row>
    <row r="178" spans="17:17" ht="15.75" customHeight="1" x14ac:dyDescent="0.25">
      <c r="Q178" s="1"/>
    </row>
    <row r="179" spans="17:17" ht="15.75" customHeight="1" x14ac:dyDescent="0.25">
      <c r="Q179" s="1"/>
    </row>
    <row r="180" spans="17:17" ht="15.75" customHeight="1" x14ac:dyDescent="0.25">
      <c r="Q180" s="1"/>
    </row>
    <row r="181" spans="17:17" ht="15.75" customHeight="1" x14ac:dyDescent="0.25">
      <c r="Q181" s="1"/>
    </row>
    <row r="182" spans="17:17" ht="15.75" customHeight="1" x14ac:dyDescent="0.25">
      <c r="Q182" s="1"/>
    </row>
    <row r="183" spans="17:17" ht="15.75" customHeight="1" x14ac:dyDescent="0.25">
      <c r="Q183" s="1"/>
    </row>
    <row r="184" spans="17:17" ht="15.75" customHeight="1" x14ac:dyDescent="0.25">
      <c r="Q184" s="1"/>
    </row>
    <row r="185" spans="17:17" ht="15.75" customHeight="1" x14ac:dyDescent="0.25">
      <c r="Q185" s="1"/>
    </row>
    <row r="186" spans="17:17" ht="15.75" customHeight="1" x14ac:dyDescent="0.25">
      <c r="Q186" s="1"/>
    </row>
    <row r="187" spans="17:17" ht="15.75" customHeight="1" x14ac:dyDescent="0.25">
      <c r="Q187" s="1"/>
    </row>
    <row r="188" spans="17:17" ht="15.75" customHeight="1" x14ac:dyDescent="0.25">
      <c r="Q188" s="1"/>
    </row>
    <row r="189" spans="17:17" ht="15.75" customHeight="1" x14ac:dyDescent="0.25">
      <c r="Q189" s="1"/>
    </row>
    <row r="190" spans="17:17" ht="15.75" customHeight="1" x14ac:dyDescent="0.25">
      <c r="Q190" s="1"/>
    </row>
    <row r="191" spans="17:17" ht="15.75" customHeight="1" x14ac:dyDescent="0.25">
      <c r="Q191" s="1"/>
    </row>
    <row r="192" spans="17:17" ht="15.75" customHeight="1" x14ac:dyDescent="0.25">
      <c r="Q192" s="1"/>
    </row>
    <row r="193" spans="17:17" ht="15.75" customHeight="1" x14ac:dyDescent="0.25">
      <c r="Q193" s="1"/>
    </row>
    <row r="194" spans="17:17" ht="15.75" customHeight="1" x14ac:dyDescent="0.25">
      <c r="Q194" s="1"/>
    </row>
    <row r="195" spans="17:17" ht="15.75" customHeight="1" x14ac:dyDescent="0.25">
      <c r="Q195" s="1"/>
    </row>
    <row r="196" spans="17:17" ht="15.75" customHeight="1" x14ac:dyDescent="0.25">
      <c r="Q196" s="1"/>
    </row>
    <row r="197" spans="17:17" ht="15.75" customHeight="1" x14ac:dyDescent="0.25">
      <c r="Q197" s="1"/>
    </row>
    <row r="198" spans="17:17" ht="15.75" customHeight="1" x14ac:dyDescent="0.25">
      <c r="Q198" s="1"/>
    </row>
    <row r="199" spans="17:17" ht="15.75" customHeight="1" x14ac:dyDescent="0.25">
      <c r="Q199" s="1"/>
    </row>
    <row r="200" spans="17:17" ht="15.75" customHeight="1" x14ac:dyDescent="0.25">
      <c r="Q200" s="1"/>
    </row>
    <row r="201" spans="17:17" ht="15.75" customHeight="1" x14ac:dyDescent="0.25">
      <c r="Q201" s="1"/>
    </row>
    <row r="202" spans="17:17" ht="15.75" customHeight="1" x14ac:dyDescent="0.25">
      <c r="Q202" s="1"/>
    </row>
    <row r="203" spans="17:17" ht="15.75" customHeight="1" x14ac:dyDescent="0.25">
      <c r="Q203" s="1"/>
    </row>
    <row r="204" spans="17:17" ht="15.75" customHeight="1" x14ac:dyDescent="0.25">
      <c r="Q204" s="1"/>
    </row>
    <row r="205" spans="17:17" ht="15.75" customHeight="1" x14ac:dyDescent="0.25">
      <c r="Q205" s="1"/>
    </row>
    <row r="206" spans="17:17" ht="15.75" customHeight="1" x14ac:dyDescent="0.25">
      <c r="Q206" s="1"/>
    </row>
    <row r="207" spans="17:17" ht="15.75" customHeight="1" x14ac:dyDescent="0.25">
      <c r="Q207" s="1"/>
    </row>
    <row r="208" spans="17:17" ht="15.75" customHeight="1" x14ac:dyDescent="0.25">
      <c r="Q208" s="1"/>
    </row>
    <row r="209" spans="17:17" ht="15.75" customHeight="1" x14ac:dyDescent="0.25">
      <c r="Q209" s="1"/>
    </row>
    <row r="210" spans="17:17" ht="15.75" customHeight="1" x14ac:dyDescent="0.25">
      <c r="Q210" s="1"/>
    </row>
    <row r="211" spans="17:17" ht="15.75" customHeight="1" x14ac:dyDescent="0.25">
      <c r="Q211" s="1"/>
    </row>
    <row r="212" spans="17:17" ht="15.75" customHeight="1" x14ac:dyDescent="0.25">
      <c r="Q212" s="1"/>
    </row>
    <row r="213" spans="17:17" ht="15.75" customHeight="1" x14ac:dyDescent="0.25">
      <c r="Q213" s="1"/>
    </row>
    <row r="214" spans="17:17" ht="15.75" customHeight="1" x14ac:dyDescent="0.25">
      <c r="Q214" s="1"/>
    </row>
    <row r="215" spans="17:17" ht="15.75" customHeight="1" x14ac:dyDescent="0.25">
      <c r="Q215" s="1"/>
    </row>
    <row r="216" spans="17:17" ht="15.75" customHeight="1" x14ac:dyDescent="0.25">
      <c r="Q216" s="1"/>
    </row>
    <row r="217" spans="17:17" ht="15.75" customHeight="1" x14ac:dyDescent="0.25">
      <c r="Q217" s="1"/>
    </row>
    <row r="218" spans="17:17" ht="15.75" customHeight="1" x14ac:dyDescent="0.25">
      <c r="Q218" s="1"/>
    </row>
    <row r="219" spans="17:17" ht="15.75" customHeight="1" x14ac:dyDescent="0.25">
      <c r="Q219" s="1"/>
    </row>
    <row r="220" spans="17:17" ht="15.75" customHeight="1" x14ac:dyDescent="0.25">
      <c r="Q220" s="1"/>
    </row>
    <row r="221" spans="17:17" ht="15.75" customHeight="1" x14ac:dyDescent="0.25">
      <c r="Q221" s="1"/>
    </row>
    <row r="222" spans="17:17" ht="15.75" customHeight="1" x14ac:dyDescent="0.25">
      <c r="Q222" s="1"/>
    </row>
    <row r="223" spans="17:17" ht="15.75" customHeight="1" x14ac:dyDescent="0.25">
      <c r="Q223" s="1"/>
    </row>
    <row r="224" spans="17:17" ht="15.75" customHeight="1" x14ac:dyDescent="0.25">
      <c r="Q224" s="1"/>
    </row>
    <row r="225" spans="17:17" ht="15.75" customHeight="1" x14ac:dyDescent="0.25">
      <c r="Q225" s="1"/>
    </row>
    <row r="226" spans="17:17" ht="15.75" customHeight="1" x14ac:dyDescent="0.25">
      <c r="Q226" s="1"/>
    </row>
    <row r="227" spans="17:17" ht="15.75" customHeight="1" x14ac:dyDescent="0.25">
      <c r="Q227" s="1"/>
    </row>
    <row r="228" spans="17:17" ht="15.75" customHeight="1" x14ac:dyDescent="0.25">
      <c r="Q228" s="1"/>
    </row>
    <row r="229" spans="17:17" ht="15.75" customHeight="1" x14ac:dyDescent="0.25">
      <c r="Q229" s="1"/>
    </row>
    <row r="230" spans="17:17" ht="15.75" customHeight="1" x14ac:dyDescent="0.25">
      <c r="Q230" s="1"/>
    </row>
    <row r="231" spans="17:17" ht="15.75" customHeight="1" x14ac:dyDescent="0.25">
      <c r="Q231" s="1"/>
    </row>
    <row r="232" spans="17:17" ht="15.75" customHeight="1" x14ac:dyDescent="0.25">
      <c r="Q232" s="1"/>
    </row>
    <row r="233" spans="17:17" ht="15.75" customHeight="1" x14ac:dyDescent="0.25">
      <c r="Q233" s="1"/>
    </row>
    <row r="234" spans="17:17" ht="15.75" customHeight="1" x14ac:dyDescent="0.25">
      <c r="Q234" s="1"/>
    </row>
    <row r="235" spans="17:17" ht="15.75" customHeight="1" x14ac:dyDescent="0.25">
      <c r="Q235" s="1"/>
    </row>
    <row r="236" spans="17:17" ht="15.75" customHeight="1" x14ac:dyDescent="0.25">
      <c r="Q236" s="1"/>
    </row>
    <row r="237" spans="17:17" ht="15.75" customHeight="1" x14ac:dyDescent="0.25">
      <c r="Q237" s="1"/>
    </row>
    <row r="238" spans="17:17" ht="15.75" customHeight="1" x14ac:dyDescent="0.25">
      <c r="Q238" s="1"/>
    </row>
    <row r="239" spans="17:17" ht="15.75" customHeight="1" x14ac:dyDescent="0.25">
      <c r="Q239" s="1"/>
    </row>
    <row r="240" spans="17:17" ht="15.75" customHeight="1" x14ac:dyDescent="0.25">
      <c r="Q240" s="1"/>
    </row>
    <row r="241" spans="17:17" ht="15.75" customHeight="1" x14ac:dyDescent="0.25">
      <c r="Q241" s="1"/>
    </row>
    <row r="242" spans="17:17" ht="15.75" customHeight="1" x14ac:dyDescent="0.25">
      <c r="Q242" s="1"/>
    </row>
    <row r="243" spans="17:17" ht="15.75" customHeight="1" x14ac:dyDescent="0.25">
      <c r="Q243" s="1"/>
    </row>
    <row r="244" spans="17:17" ht="15.75" customHeight="1" x14ac:dyDescent="0.25">
      <c r="Q244" s="1"/>
    </row>
    <row r="245" spans="17:17" ht="15.75" customHeight="1" x14ac:dyDescent="0.25">
      <c r="Q245" s="1"/>
    </row>
    <row r="246" spans="17:17" ht="15.75" customHeight="1" x14ac:dyDescent="0.25">
      <c r="Q246" s="1"/>
    </row>
    <row r="247" spans="17:17" ht="15.75" customHeight="1" x14ac:dyDescent="0.25">
      <c r="Q247" s="1"/>
    </row>
    <row r="248" spans="17:17" ht="15.75" customHeight="1" x14ac:dyDescent="0.25">
      <c r="Q248" s="1"/>
    </row>
    <row r="249" spans="17:17" ht="15.75" customHeight="1" x14ac:dyDescent="0.25">
      <c r="Q249" s="1"/>
    </row>
    <row r="250" spans="17:17" ht="15.75" customHeight="1" x14ac:dyDescent="0.25">
      <c r="Q250" s="1"/>
    </row>
    <row r="251" spans="17:17" ht="15.75" customHeight="1" x14ac:dyDescent="0.25">
      <c r="Q251" s="1"/>
    </row>
    <row r="252" spans="17:17" ht="15.75" customHeight="1" x14ac:dyDescent="0.25">
      <c r="Q252" s="1"/>
    </row>
    <row r="253" spans="17:17" ht="15.75" customHeight="1" x14ac:dyDescent="0.25">
      <c r="Q253" s="1"/>
    </row>
    <row r="254" spans="17:17" ht="15.75" customHeight="1" x14ac:dyDescent="0.25">
      <c r="Q254" s="1"/>
    </row>
    <row r="255" spans="17:17" ht="15.75" customHeight="1" x14ac:dyDescent="0.25">
      <c r="Q255" s="1"/>
    </row>
    <row r="256" spans="17:17" ht="15.75" customHeight="1" x14ac:dyDescent="0.25">
      <c r="Q256" s="1"/>
    </row>
    <row r="257" spans="17:17" ht="15.75" customHeight="1" x14ac:dyDescent="0.25">
      <c r="Q257" s="1"/>
    </row>
    <row r="258" spans="17:17" ht="15.75" customHeight="1" x14ac:dyDescent="0.25">
      <c r="Q258" s="1"/>
    </row>
    <row r="259" spans="17:17" ht="15.75" customHeight="1" x14ac:dyDescent="0.25">
      <c r="Q259" s="1"/>
    </row>
    <row r="260" spans="17:17" ht="15.75" customHeight="1" x14ac:dyDescent="0.25">
      <c r="Q260" s="1"/>
    </row>
    <row r="261" spans="17:17" ht="15.75" customHeight="1" x14ac:dyDescent="0.25">
      <c r="Q261" s="1"/>
    </row>
    <row r="262" spans="17:17" ht="15.75" customHeight="1" x14ac:dyDescent="0.25">
      <c r="Q262" s="1"/>
    </row>
    <row r="263" spans="17:17" ht="15.75" customHeight="1" x14ac:dyDescent="0.25">
      <c r="Q263" s="1"/>
    </row>
    <row r="264" spans="17:17" ht="15.75" customHeight="1" x14ac:dyDescent="0.25">
      <c r="Q264" s="1"/>
    </row>
    <row r="265" spans="17:17" ht="15.75" customHeight="1" x14ac:dyDescent="0.25">
      <c r="Q265" s="1"/>
    </row>
    <row r="266" spans="17:17" ht="15.75" customHeight="1" x14ac:dyDescent="0.25">
      <c r="Q266" s="1"/>
    </row>
    <row r="267" spans="17:17" ht="15.75" customHeight="1" x14ac:dyDescent="0.25">
      <c r="Q267" s="1"/>
    </row>
    <row r="268" spans="17:17" ht="15.75" customHeight="1" x14ac:dyDescent="0.25">
      <c r="Q268" s="1"/>
    </row>
    <row r="269" spans="17:17" ht="15.75" customHeight="1" x14ac:dyDescent="0.25">
      <c r="Q269" s="1"/>
    </row>
    <row r="270" spans="17:17" ht="15.75" customHeight="1" x14ac:dyDescent="0.25">
      <c r="Q270" s="1"/>
    </row>
    <row r="271" spans="17:17" ht="15.75" customHeight="1" x14ac:dyDescent="0.25">
      <c r="Q271" s="1"/>
    </row>
    <row r="272" spans="17:17" ht="15.75" customHeight="1" x14ac:dyDescent="0.25">
      <c r="Q272" s="1"/>
    </row>
    <row r="273" spans="17:17" ht="15.75" customHeight="1" x14ac:dyDescent="0.25">
      <c r="Q273" s="1"/>
    </row>
    <row r="274" spans="17:17" ht="15.75" customHeight="1" x14ac:dyDescent="0.25">
      <c r="Q274" s="1"/>
    </row>
    <row r="275" spans="17:17" ht="15.75" customHeight="1" x14ac:dyDescent="0.25">
      <c r="Q275" s="1"/>
    </row>
    <row r="276" spans="17:17" ht="15.75" customHeight="1" x14ac:dyDescent="0.25">
      <c r="Q276" s="1"/>
    </row>
    <row r="277" spans="17:17" ht="15.75" customHeight="1" x14ac:dyDescent="0.25">
      <c r="Q277" s="1"/>
    </row>
    <row r="278" spans="17:17" ht="15.75" customHeight="1" x14ac:dyDescent="0.25">
      <c r="Q278" s="1"/>
    </row>
    <row r="279" spans="17:17" ht="15.75" customHeight="1" x14ac:dyDescent="0.25">
      <c r="Q279" s="1"/>
    </row>
    <row r="280" spans="17:17" ht="15.75" customHeight="1" x14ac:dyDescent="0.25">
      <c r="Q280" s="1"/>
    </row>
    <row r="281" spans="17:17" ht="15.75" customHeight="1" x14ac:dyDescent="0.25">
      <c r="Q281" s="1"/>
    </row>
    <row r="282" spans="17:17" ht="15.75" customHeight="1" x14ac:dyDescent="0.25">
      <c r="Q282" s="1"/>
    </row>
    <row r="283" spans="17:17" ht="15.75" customHeight="1" x14ac:dyDescent="0.25">
      <c r="Q283" s="1"/>
    </row>
    <row r="284" spans="17:17" ht="15.75" customHeight="1" x14ac:dyDescent="0.25">
      <c r="Q284" s="1"/>
    </row>
    <row r="285" spans="17:17" ht="15.75" customHeight="1" x14ac:dyDescent="0.25">
      <c r="Q285" s="1"/>
    </row>
    <row r="286" spans="17:17" ht="15.75" customHeight="1" x14ac:dyDescent="0.25">
      <c r="Q286" s="1"/>
    </row>
    <row r="287" spans="17:17" ht="15.75" customHeight="1" x14ac:dyDescent="0.25">
      <c r="Q287" s="1"/>
    </row>
    <row r="288" spans="17:17" ht="15.75" customHeight="1" x14ac:dyDescent="0.25">
      <c r="Q288" s="1"/>
    </row>
    <row r="289" spans="17:17" ht="15.75" customHeight="1" x14ac:dyDescent="0.25">
      <c r="Q289" s="1"/>
    </row>
    <row r="290" spans="17:17" ht="15.75" customHeight="1" x14ac:dyDescent="0.25">
      <c r="Q290" s="1"/>
    </row>
    <row r="291" spans="17:17" ht="15.75" customHeight="1" x14ac:dyDescent="0.25">
      <c r="Q291" s="1"/>
    </row>
    <row r="292" spans="17:17" ht="15.75" customHeight="1" x14ac:dyDescent="0.25">
      <c r="Q292" s="1"/>
    </row>
    <row r="293" spans="17:17" ht="15.75" customHeight="1" x14ac:dyDescent="0.25">
      <c r="Q293" s="1"/>
    </row>
    <row r="294" spans="17:17" ht="15.75" customHeight="1" x14ac:dyDescent="0.25">
      <c r="Q294" s="1"/>
    </row>
    <row r="295" spans="17:17" ht="15.75" customHeight="1" x14ac:dyDescent="0.25">
      <c r="Q295" s="1"/>
    </row>
    <row r="296" spans="17:17" ht="15.75" customHeight="1" x14ac:dyDescent="0.25">
      <c r="Q296" s="1"/>
    </row>
    <row r="297" spans="17:17" ht="15.75" customHeight="1" x14ac:dyDescent="0.25">
      <c r="Q297" s="1"/>
    </row>
    <row r="298" spans="17:17" ht="15.75" customHeight="1" x14ac:dyDescent="0.25">
      <c r="Q298" s="1"/>
    </row>
    <row r="299" spans="17:17" ht="15.75" customHeight="1" x14ac:dyDescent="0.25">
      <c r="Q299" s="1"/>
    </row>
    <row r="300" spans="17:17" ht="15.75" customHeight="1" x14ac:dyDescent="0.25">
      <c r="Q300" s="1"/>
    </row>
    <row r="301" spans="17:17" ht="15.75" customHeight="1" x14ac:dyDescent="0.25">
      <c r="Q301" s="1"/>
    </row>
    <row r="302" spans="17:17" ht="15.75" customHeight="1" x14ac:dyDescent="0.25">
      <c r="Q302" s="1"/>
    </row>
    <row r="303" spans="17:17" ht="15.75" customHeight="1" x14ac:dyDescent="0.25">
      <c r="Q303" s="1"/>
    </row>
    <row r="304" spans="17:17" ht="15.75" customHeight="1" x14ac:dyDescent="0.25">
      <c r="Q304" s="1"/>
    </row>
    <row r="305" spans="17:17" ht="15.75" customHeight="1" x14ac:dyDescent="0.25">
      <c r="Q305" s="1"/>
    </row>
    <row r="306" spans="17:17" ht="15.75" customHeight="1" x14ac:dyDescent="0.25">
      <c r="Q306" s="1"/>
    </row>
    <row r="307" spans="17:17" ht="15.75" customHeight="1" x14ac:dyDescent="0.25">
      <c r="Q307" s="1"/>
    </row>
    <row r="308" spans="17:17" ht="15.75" customHeight="1" x14ac:dyDescent="0.25">
      <c r="Q308" s="1"/>
    </row>
    <row r="309" spans="17:17" ht="15.75" customHeight="1" x14ac:dyDescent="0.25">
      <c r="Q309" s="1"/>
    </row>
    <row r="310" spans="17:17" ht="15.75" customHeight="1" x14ac:dyDescent="0.25">
      <c r="Q310" s="1"/>
    </row>
    <row r="311" spans="17:17" ht="15.75" customHeight="1" x14ac:dyDescent="0.25">
      <c r="Q311" s="1"/>
    </row>
    <row r="312" spans="17:17" ht="15.75" customHeight="1" x14ac:dyDescent="0.25">
      <c r="Q312" s="1"/>
    </row>
    <row r="313" spans="17:17" ht="15.75" customHeight="1" x14ac:dyDescent="0.25">
      <c r="Q313" s="1"/>
    </row>
    <row r="314" spans="17:17" ht="15.75" customHeight="1" x14ac:dyDescent="0.25">
      <c r="Q314" s="1"/>
    </row>
    <row r="315" spans="17:17" ht="15.75" customHeight="1" x14ac:dyDescent="0.25">
      <c r="Q315" s="1"/>
    </row>
    <row r="316" spans="17:17" ht="15.75" customHeight="1" x14ac:dyDescent="0.25">
      <c r="Q316" s="1"/>
    </row>
    <row r="317" spans="17:17" ht="15.75" customHeight="1" x14ac:dyDescent="0.25">
      <c r="Q317" s="1"/>
    </row>
    <row r="318" spans="17:17" ht="15.75" customHeight="1" x14ac:dyDescent="0.25">
      <c r="Q318" s="1"/>
    </row>
    <row r="319" spans="17:17" ht="15.75" customHeight="1" x14ac:dyDescent="0.25">
      <c r="Q319" s="1"/>
    </row>
    <row r="320" spans="17:17" ht="15.75" customHeight="1" x14ac:dyDescent="0.25">
      <c r="Q320" s="1"/>
    </row>
    <row r="321" spans="17:17" ht="15.75" customHeight="1" x14ac:dyDescent="0.25">
      <c r="Q321" s="1"/>
    </row>
    <row r="322" spans="17:17" ht="15.75" customHeight="1" x14ac:dyDescent="0.25">
      <c r="Q322" s="1"/>
    </row>
    <row r="323" spans="17:17" ht="15.75" customHeight="1" x14ac:dyDescent="0.25">
      <c r="Q323" s="1"/>
    </row>
    <row r="324" spans="17:17" ht="15.75" customHeight="1" x14ac:dyDescent="0.25">
      <c r="Q324" s="1"/>
    </row>
    <row r="325" spans="17:17" ht="15.75" customHeight="1" x14ac:dyDescent="0.25">
      <c r="Q325" s="1"/>
    </row>
    <row r="326" spans="17:17" ht="15.75" customHeight="1" x14ac:dyDescent="0.25">
      <c r="Q326" s="1"/>
    </row>
    <row r="327" spans="17:17" ht="15.75" customHeight="1" x14ac:dyDescent="0.25">
      <c r="Q327" s="1"/>
    </row>
    <row r="328" spans="17:17" ht="15.75" customHeight="1" x14ac:dyDescent="0.25">
      <c r="Q328" s="1"/>
    </row>
    <row r="329" spans="17:17" ht="15.75" customHeight="1" x14ac:dyDescent="0.25">
      <c r="Q329" s="1"/>
    </row>
    <row r="330" spans="17:17" ht="15.75" customHeight="1" x14ac:dyDescent="0.25">
      <c r="Q330" s="1"/>
    </row>
    <row r="331" spans="17:17" ht="15.75" customHeight="1" x14ac:dyDescent="0.25">
      <c r="Q331" s="1"/>
    </row>
    <row r="332" spans="17:17" ht="15.75" customHeight="1" x14ac:dyDescent="0.25">
      <c r="Q332" s="1"/>
    </row>
    <row r="333" spans="17:17" ht="15.75" customHeight="1" x14ac:dyDescent="0.25">
      <c r="Q333" s="1"/>
    </row>
    <row r="334" spans="17:17" ht="15.75" customHeight="1" x14ac:dyDescent="0.25">
      <c r="Q334" s="1"/>
    </row>
    <row r="335" spans="17:17" ht="15.75" customHeight="1" x14ac:dyDescent="0.25">
      <c r="Q335" s="1"/>
    </row>
    <row r="336" spans="17:17" ht="15.75" customHeight="1" x14ac:dyDescent="0.25">
      <c r="Q336" s="1"/>
    </row>
    <row r="337" spans="17:17" ht="15.75" customHeight="1" x14ac:dyDescent="0.25">
      <c r="Q337" s="1"/>
    </row>
    <row r="338" spans="17:17" ht="15.75" customHeight="1" x14ac:dyDescent="0.25">
      <c r="Q338" s="1"/>
    </row>
    <row r="339" spans="17:17" ht="15.75" customHeight="1" x14ac:dyDescent="0.25">
      <c r="Q339" s="1"/>
    </row>
    <row r="340" spans="17:17" ht="15.75" customHeight="1" x14ac:dyDescent="0.25">
      <c r="Q340" s="1"/>
    </row>
    <row r="341" spans="17:17" ht="15.75" customHeight="1" x14ac:dyDescent="0.25">
      <c r="Q341" s="1"/>
    </row>
    <row r="342" spans="17:17" ht="15.75" customHeight="1" x14ac:dyDescent="0.25">
      <c r="Q342" s="1"/>
    </row>
    <row r="343" spans="17:17" ht="15.75" customHeight="1" x14ac:dyDescent="0.25">
      <c r="Q343" s="1"/>
    </row>
    <row r="344" spans="17:17" ht="15.75" customHeight="1" x14ac:dyDescent="0.25">
      <c r="Q344" s="1"/>
    </row>
    <row r="345" spans="17:17" ht="15.75" customHeight="1" x14ac:dyDescent="0.25">
      <c r="Q345" s="1"/>
    </row>
    <row r="346" spans="17:17" ht="15.75" customHeight="1" x14ac:dyDescent="0.25">
      <c r="Q346" s="1"/>
    </row>
    <row r="347" spans="17:17" ht="15.75" customHeight="1" x14ac:dyDescent="0.25">
      <c r="Q347" s="1"/>
    </row>
    <row r="348" spans="17:17" ht="15.75" customHeight="1" x14ac:dyDescent="0.25">
      <c r="Q348" s="1"/>
    </row>
    <row r="349" spans="17:17" ht="15.75" customHeight="1" x14ac:dyDescent="0.25">
      <c r="Q349" s="1"/>
    </row>
    <row r="350" spans="17:17" ht="15.75" customHeight="1" x14ac:dyDescent="0.25">
      <c r="Q350" s="1"/>
    </row>
    <row r="351" spans="17:17" ht="15.75" customHeight="1" x14ac:dyDescent="0.25">
      <c r="Q351" s="1"/>
    </row>
    <row r="352" spans="17:17" ht="15.75" customHeight="1" x14ac:dyDescent="0.25">
      <c r="Q352" s="1"/>
    </row>
    <row r="353" spans="17:17" ht="15.75" customHeight="1" x14ac:dyDescent="0.25">
      <c r="Q353" s="1"/>
    </row>
    <row r="354" spans="17:17" ht="15.75" customHeight="1" x14ac:dyDescent="0.25">
      <c r="Q354" s="1"/>
    </row>
    <row r="355" spans="17:17" ht="15.75" customHeight="1" x14ac:dyDescent="0.25">
      <c r="Q355" s="1"/>
    </row>
    <row r="356" spans="17:17" ht="15.75" customHeight="1" x14ac:dyDescent="0.25">
      <c r="Q356" s="1"/>
    </row>
    <row r="357" spans="17:17" ht="15.75" customHeight="1" x14ac:dyDescent="0.25">
      <c r="Q357" s="1"/>
    </row>
    <row r="358" spans="17:17" ht="15.75" customHeight="1" x14ac:dyDescent="0.25">
      <c r="Q358" s="1"/>
    </row>
    <row r="359" spans="17:17" ht="15.75" customHeight="1" x14ac:dyDescent="0.25">
      <c r="Q359" s="1"/>
    </row>
    <row r="360" spans="17:17" ht="15.75" customHeight="1" x14ac:dyDescent="0.25">
      <c r="Q360" s="1"/>
    </row>
    <row r="361" spans="17:17" ht="15.75" customHeight="1" x14ac:dyDescent="0.25">
      <c r="Q361" s="1"/>
    </row>
    <row r="362" spans="17:17" ht="15.75" customHeight="1" x14ac:dyDescent="0.25">
      <c r="Q362" s="1"/>
    </row>
    <row r="363" spans="17:17" ht="15.75" customHeight="1" x14ac:dyDescent="0.25">
      <c r="Q363" s="1"/>
    </row>
    <row r="364" spans="17:17" ht="15.75" customHeight="1" x14ac:dyDescent="0.25">
      <c r="Q364" s="1"/>
    </row>
    <row r="365" spans="17:17" ht="15.75" customHeight="1" x14ac:dyDescent="0.25">
      <c r="Q365" s="1"/>
    </row>
    <row r="366" spans="17:17" ht="15.75" customHeight="1" x14ac:dyDescent="0.25">
      <c r="Q366" s="1"/>
    </row>
    <row r="367" spans="17:17" ht="15.75" customHeight="1" x14ac:dyDescent="0.25">
      <c r="Q367" s="1"/>
    </row>
    <row r="368" spans="17:17" ht="15.75" customHeight="1" x14ac:dyDescent="0.25">
      <c r="Q368" s="1"/>
    </row>
    <row r="369" spans="17:17" ht="15.75" customHeight="1" x14ac:dyDescent="0.25">
      <c r="Q369" s="1"/>
    </row>
    <row r="370" spans="17:17" ht="15.75" customHeight="1" x14ac:dyDescent="0.25">
      <c r="Q370" s="1"/>
    </row>
    <row r="371" spans="17:17" ht="15.75" customHeight="1" x14ac:dyDescent="0.25">
      <c r="Q371" s="1"/>
    </row>
    <row r="372" spans="17:17" ht="15.75" customHeight="1" x14ac:dyDescent="0.25">
      <c r="Q372" s="1"/>
    </row>
    <row r="373" spans="17:17" ht="15.75" customHeight="1" x14ac:dyDescent="0.25">
      <c r="Q373" s="1"/>
    </row>
    <row r="374" spans="17:17" ht="15.75" customHeight="1" x14ac:dyDescent="0.25">
      <c r="Q374" s="1"/>
    </row>
    <row r="375" spans="17:17" ht="15.75" customHeight="1" x14ac:dyDescent="0.25">
      <c r="Q375" s="1"/>
    </row>
    <row r="376" spans="17:17" ht="15.75" customHeight="1" x14ac:dyDescent="0.25">
      <c r="Q376" s="1"/>
    </row>
    <row r="377" spans="17:17" ht="15.75" customHeight="1" x14ac:dyDescent="0.25">
      <c r="Q377" s="1"/>
    </row>
    <row r="378" spans="17:17" ht="15.75" customHeight="1" x14ac:dyDescent="0.25">
      <c r="Q378" s="1"/>
    </row>
    <row r="379" spans="17:17" ht="15.75" customHeight="1" x14ac:dyDescent="0.25">
      <c r="Q379" s="1"/>
    </row>
    <row r="380" spans="17:17" ht="15.75" customHeight="1" x14ac:dyDescent="0.25">
      <c r="Q380" s="1"/>
    </row>
    <row r="381" spans="17:17" ht="15.75" customHeight="1" x14ac:dyDescent="0.25">
      <c r="Q381" s="1"/>
    </row>
    <row r="382" spans="17:17" ht="15.75" customHeight="1" x14ac:dyDescent="0.25">
      <c r="Q382" s="1"/>
    </row>
    <row r="383" spans="17:17" ht="15.75" customHeight="1" x14ac:dyDescent="0.25">
      <c r="Q383" s="1"/>
    </row>
    <row r="384" spans="17:17" ht="15.75" customHeight="1" x14ac:dyDescent="0.25">
      <c r="Q384" s="1"/>
    </row>
    <row r="385" spans="17:17" ht="15.75" customHeight="1" x14ac:dyDescent="0.25">
      <c r="Q385" s="1"/>
    </row>
    <row r="386" spans="17:17" ht="15.75" customHeight="1" x14ac:dyDescent="0.25">
      <c r="Q386" s="1"/>
    </row>
    <row r="387" spans="17:17" ht="15.75" customHeight="1" x14ac:dyDescent="0.25">
      <c r="Q387" s="1"/>
    </row>
    <row r="388" spans="17:17" ht="15.75" customHeight="1" x14ac:dyDescent="0.25">
      <c r="Q388" s="1"/>
    </row>
    <row r="389" spans="17:17" ht="15.75" customHeight="1" x14ac:dyDescent="0.25">
      <c r="Q389" s="1"/>
    </row>
    <row r="390" spans="17:17" ht="15.75" customHeight="1" x14ac:dyDescent="0.25">
      <c r="Q390" s="1"/>
    </row>
    <row r="391" spans="17:17" ht="15.75" customHeight="1" x14ac:dyDescent="0.25">
      <c r="Q391" s="1"/>
    </row>
    <row r="392" spans="17:17" ht="15.75" customHeight="1" x14ac:dyDescent="0.25">
      <c r="Q392" s="1"/>
    </row>
    <row r="393" spans="17:17" ht="15.75" customHeight="1" x14ac:dyDescent="0.25">
      <c r="Q393" s="1"/>
    </row>
    <row r="394" spans="17:17" ht="15.75" customHeight="1" x14ac:dyDescent="0.25">
      <c r="Q394" s="1"/>
    </row>
    <row r="395" spans="17:17" ht="15.75" customHeight="1" x14ac:dyDescent="0.25">
      <c r="Q395" s="1"/>
    </row>
    <row r="396" spans="17:17" ht="15.75" customHeight="1" x14ac:dyDescent="0.25">
      <c r="Q396" s="1"/>
    </row>
    <row r="397" spans="17:17" ht="15.75" customHeight="1" x14ac:dyDescent="0.25">
      <c r="Q397" s="1"/>
    </row>
    <row r="398" spans="17:17" ht="15.75" customHeight="1" x14ac:dyDescent="0.25">
      <c r="Q398" s="1"/>
    </row>
    <row r="399" spans="17:17" ht="15.75" customHeight="1" x14ac:dyDescent="0.25">
      <c r="Q399" s="1"/>
    </row>
    <row r="400" spans="17:17" ht="15.75" customHeight="1" x14ac:dyDescent="0.25">
      <c r="Q400" s="1"/>
    </row>
    <row r="401" spans="17:17" ht="15.75" customHeight="1" x14ac:dyDescent="0.25">
      <c r="Q401" s="1"/>
    </row>
    <row r="402" spans="17:17" ht="15.75" customHeight="1" x14ac:dyDescent="0.25">
      <c r="Q402" s="1"/>
    </row>
    <row r="403" spans="17:17" ht="15.75" customHeight="1" x14ac:dyDescent="0.25">
      <c r="Q403" s="1"/>
    </row>
    <row r="404" spans="17:17" ht="15.75" customHeight="1" x14ac:dyDescent="0.25">
      <c r="Q404" s="1"/>
    </row>
    <row r="405" spans="17:17" ht="15.75" customHeight="1" x14ac:dyDescent="0.25">
      <c r="Q405" s="1"/>
    </row>
    <row r="406" spans="17:17" ht="15.75" customHeight="1" x14ac:dyDescent="0.25">
      <c r="Q406" s="1"/>
    </row>
    <row r="407" spans="17:17" ht="15.75" customHeight="1" x14ac:dyDescent="0.25">
      <c r="Q407" s="1"/>
    </row>
    <row r="408" spans="17:17" ht="15.75" customHeight="1" x14ac:dyDescent="0.25">
      <c r="Q408" s="1"/>
    </row>
    <row r="409" spans="17:17" ht="15.75" customHeight="1" x14ac:dyDescent="0.25">
      <c r="Q409" s="1"/>
    </row>
    <row r="410" spans="17:17" ht="15.75" customHeight="1" x14ac:dyDescent="0.25">
      <c r="Q410" s="1"/>
    </row>
    <row r="411" spans="17:17" ht="15.75" customHeight="1" x14ac:dyDescent="0.25">
      <c r="Q411" s="1"/>
    </row>
    <row r="412" spans="17:17" ht="15.75" customHeight="1" x14ac:dyDescent="0.25">
      <c r="Q412" s="1"/>
    </row>
    <row r="413" spans="17:17" ht="15.75" customHeight="1" x14ac:dyDescent="0.25">
      <c r="Q413" s="1"/>
    </row>
    <row r="414" spans="17:17" ht="15.75" customHeight="1" x14ac:dyDescent="0.25">
      <c r="Q414" s="1"/>
    </row>
    <row r="415" spans="17:17" ht="15.75" customHeight="1" x14ac:dyDescent="0.25">
      <c r="Q415" s="1"/>
    </row>
    <row r="416" spans="17:17" ht="15.75" customHeight="1" x14ac:dyDescent="0.25">
      <c r="Q416" s="1"/>
    </row>
    <row r="417" spans="17:17" ht="15.75" customHeight="1" x14ac:dyDescent="0.25">
      <c r="Q417" s="1"/>
    </row>
    <row r="418" spans="17:17" ht="15.75" customHeight="1" x14ac:dyDescent="0.25">
      <c r="Q418" s="1"/>
    </row>
    <row r="419" spans="17:17" ht="15.75" customHeight="1" x14ac:dyDescent="0.25">
      <c r="Q419" s="1"/>
    </row>
    <row r="420" spans="17:17" ht="15.75" customHeight="1" x14ac:dyDescent="0.25">
      <c r="Q420" s="1"/>
    </row>
    <row r="421" spans="17:17" ht="15.75" customHeight="1" x14ac:dyDescent="0.25">
      <c r="Q421" s="1"/>
    </row>
    <row r="422" spans="17:17" ht="15.75" customHeight="1" x14ac:dyDescent="0.25">
      <c r="Q422" s="1"/>
    </row>
    <row r="423" spans="17:17" ht="15.75" customHeight="1" x14ac:dyDescent="0.25">
      <c r="Q423" s="1"/>
    </row>
    <row r="424" spans="17:17" ht="15.75" customHeight="1" x14ac:dyDescent="0.25">
      <c r="Q424" s="1"/>
    </row>
    <row r="425" spans="17:17" ht="15.75" customHeight="1" x14ac:dyDescent="0.25">
      <c r="Q425" s="1"/>
    </row>
    <row r="426" spans="17:17" ht="15.75" customHeight="1" x14ac:dyDescent="0.25">
      <c r="Q426" s="1"/>
    </row>
    <row r="427" spans="17:17" ht="15.75" customHeight="1" x14ac:dyDescent="0.25">
      <c r="Q427" s="1"/>
    </row>
    <row r="428" spans="17:17" ht="15.75" customHeight="1" x14ac:dyDescent="0.25">
      <c r="Q428" s="1"/>
    </row>
    <row r="429" spans="17:17" ht="15.75" customHeight="1" x14ac:dyDescent="0.25">
      <c r="Q429" s="1"/>
    </row>
    <row r="430" spans="17:17" ht="15.75" customHeight="1" x14ac:dyDescent="0.25">
      <c r="Q430" s="1"/>
    </row>
    <row r="431" spans="17:17" ht="15.75" customHeight="1" x14ac:dyDescent="0.25">
      <c r="Q431" s="1"/>
    </row>
    <row r="432" spans="17:17" ht="15.75" customHeight="1" x14ac:dyDescent="0.25">
      <c r="Q432" s="1"/>
    </row>
    <row r="433" spans="17:17" ht="15.75" customHeight="1" x14ac:dyDescent="0.25">
      <c r="Q433" s="1"/>
    </row>
    <row r="434" spans="17:17" ht="15.75" customHeight="1" x14ac:dyDescent="0.25">
      <c r="Q434" s="1"/>
    </row>
    <row r="435" spans="17:17" ht="15.75" customHeight="1" x14ac:dyDescent="0.25">
      <c r="Q435" s="1"/>
    </row>
    <row r="436" spans="17:17" ht="15.75" customHeight="1" x14ac:dyDescent="0.25">
      <c r="Q436" s="1"/>
    </row>
    <row r="437" spans="17:17" ht="15.75" customHeight="1" x14ac:dyDescent="0.25">
      <c r="Q437" s="1"/>
    </row>
    <row r="438" spans="17:17" ht="15.75" customHeight="1" x14ac:dyDescent="0.25">
      <c r="Q438" s="1"/>
    </row>
    <row r="439" spans="17:17" ht="15.75" customHeight="1" x14ac:dyDescent="0.25">
      <c r="Q439" s="1"/>
    </row>
    <row r="440" spans="17:17" ht="15.75" customHeight="1" x14ac:dyDescent="0.25">
      <c r="Q440" s="1"/>
    </row>
    <row r="441" spans="17:17" ht="15.75" customHeight="1" x14ac:dyDescent="0.25">
      <c r="Q441" s="1"/>
    </row>
    <row r="442" spans="17:17" ht="15.75" customHeight="1" x14ac:dyDescent="0.25">
      <c r="Q442" s="1"/>
    </row>
    <row r="443" spans="17:17" ht="15.75" customHeight="1" x14ac:dyDescent="0.25">
      <c r="Q443" s="1"/>
    </row>
    <row r="444" spans="17:17" ht="15.75" customHeight="1" x14ac:dyDescent="0.25">
      <c r="Q444" s="1"/>
    </row>
    <row r="445" spans="17:17" ht="15.75" customHeight="1" x14ac:dyDescent="0.25">
      <c r="Q445" s="1"/>
    </row>
    <row r="446" spans="17:17" ht="15.75" customHeight="1" x14ac:dyDescent="0.25">
      <c r="Q446" s="1"/>
    </row>
    <row r="447" spans="17:17" ht="15.75" customHeight="1" x14ac:dyDescent="0.25">
      <c r="Q447" s="1"/>
    </row>
    <row r="448" spans="17:17" ht="15.75" customHeight="1" x14ac:dyDescent="0.25">
      <c r="Q448" s="1"/>
    </row>
    <row r="449" spans="17:17" ht="15.75" customHeight="1" x14ac:dyDescent="0.25">
      <c r="Q449" s="1"/>
    </row>
    <row r="450" spans="17:17" ht="15.75" customHeight="1" x14ac:dyDescent="0.25">
      <c r="Q450" s="1"/>
    </row>
    <row r="451" spans="17:17" ht="15.75" customHeight="1" x14ac:dyDescent="0.25">
      <c r="Q451" s="1"/>
    </row>
    <row r="452" spans="17:17" ht="15.75" customHeight="1" x14ac:dyDescent="0.25">
      <c r="Q452" s="1"/>
    </row>
    <row r="453" spans="17:17" ht="15.75" customHeight="1" x14ac:dyDescent="0.25">
      <c r="Q453" s="1"/>
    </row>
    <row r="454" spans="17:17" ht="15.75" customHeight="1" x14ac:dyDescent="0.25">
      <c r="Q454" s="1"/>
    </row>
    <row r="455" spans="17:17" ht="15.75" customHeight="1" x14ac:dyDescent="0.25">
      <c r="Q455" s="1"/>
    </row>
    <row r="456" spans="17:17" ht="15.75" customHeight="1" x14ac:dyDescent="0.25">
      <c r="Q456" s="1"/>
    </row>
    <row r="457" spans="17:17" ht="15.75" customHeight="1" x14ac:dyDescent="0.25">
      <c r="Q457" s="1"/>
    </row>
    <row r="458" spans="17:17" ht="15.75" customHeight="1" x14ac:dyDescent="0.25">
      <c r="Q458" s="1"/>
    </row>
    <row r="459" spans="17:17" ht="15.75" customHeight="1" x14ac:dyDescent="0.25">
      <c r="Q459" s="1"/>
    </row>
    <row r="460" spans="17:17" ht="15.75" customHeight="1" x14ac:dyDescent="0.25">
      <c r="Q460" s="1"/>
    </row>
    <row r="461" spans="17:17" ht="15.75" customHeight="1" x14ac:dyDescent="0.25">
      <c r="Q461" s="1"/>
    </row>
    <row r="462" spans="17:17" ht="15.75" customHeight="1" x14ac:dyDescent="0.25">
      <c r="Q462" s="1"/>
    </row>
    <row r="463" spans="17:17" ht="15.75" customHeight="1" x14ac:dyDescent="0.25">
      <c r="Q463" s="1"/>
    </row>
    <row r="464" spans="17:17" ht="15.75" customHeight="1" x14ac:dyDescent="0.25">
      <c r="Q464" s="1"/>
    </row>
    <row r="465" spans="17:17" ht="15.75" customHeight="1" x14ac:dyDescent="0.25">
      <c r="Q465" s="1"/>
    </row>
    <row r="466" spans="17:17" ht="15.75" customHeight="1" x14ac:dyDescent="0.25">
      <c r="Q466" s="1"/>
    </row>
    <row r="467" spans="17:17" ht="15.75" customHeight="1" x14ac:dyDescent="0.25">
      <c r="Q467" s="1"/>
    </row>
    <row r="468" spans="17:17" ht="15.75" customHeight="1" x14ac:dyDescent="0.25">
      <c r="Q468" s="1"/>
    </row>
    <row r="469" spans="17:17" ht="15.75" customHeight="1" x14ac:dyDescent="0.25">
      <c r="Q469" s="1"/>
    </row>
    <row r="470" spans="17:17" ht="15.75" customHeight="1" x14ac:dyDescent="0.25">
      <c r="Q470" s="1"/>
    </row>
    <row r="471" spans="17:17" ht="15.75" customHeight="1" x14ac:dyDescent="0.25">
      <c r="Q471" s="1"/>
    </row>
    <row r="472" spans="17:17" ht="15.75" customHeight="1" x14ac:dyDescent="0.25">
      <c r="Q472" s="1"/>
    </row>
    <row r="473" spans="17:17" ht="15.75" customHeight="1" x14ac:dyDescent="0.25">
      <c r="Q473" s="1"/>
    </row>
    <row r="474" spans="17:17" ht="15.75" customHeight="1" x14ac:dyDescent="0.25">
      <c r="Q474" s="1"/>
    </row>
    <row r="475" spans="17:17" ht="15.75" customHeight="1" x14ac:dyDescent="0.25">
      <c r="Q475" s="1"/>
    </row>
    <row r="476" spans="17:17" ht="15.75" customHeight="1" x14ac:dyDescent="0.25">
      <c r="Q476" s="1"/>
    </row>
    <row r="477" spans="17:17" ht="15.75" customHeight="1" x14ac:dyDescent="0.25">
      <c r="Q477" s="1"/>
    </row>
    <row r="478" spans="17:17" ht="15.75" customHeight="1" x14ac:dyDescent="0.25">
      <c r="Q478" s="1"/>
    </row>
    <row r="479" spans="17:17" ht="15.75" customHeight="1" x14ac:dyDescent="0.25">
      <c r="Q479" s="1"/>
    </row>
    <row r="480" spans="17:17" ht="15.75" customHeight="1" x14ac:dyDescent="0.25">
      <c r="Q480" s="1"/>
    </row>
    <row r="481" spans="17:17" ht="15.75" customHeight="1" x14ac:dyDescent="0.25">
      <c r="Q481" s="1"/>
    </row>
    <row r="482" spans="17:17" ht="15.75" customHeight="1" x14ac:dyDescent="0.25">
      <c r="Q482" s="1"/>
    </row>
    <row r="483" spans="17:17" ht="15.75" customHeight="1" x14ac:dyDescent="0.25">
      <c r="Q483" s="1"/>
    </row>
    <row r="484" spans="17:17" ht="15.75" customHeight="1" x14ac:dyDescent="0.25">
      <c r="Q484" s="1"/>
    </row>
    <row r="485" spans="17:17" ht="15.75" customHeight="1" x14ac:dyDescent="0.25">
      <c r="Q485" s="1"/>
    </row>
    <row r="486" spans="17:17" ht="15.75" customHeight="1" x14ac:dyDescent="0.25">
      <c r="Q486" s="1"/>
    </row>
    <row r="487" spans="17:17" ht="15.75" customHeight="1" x14ac:dyDescent="0.25">
      <c r="Q487" s="1"/>
    </row>
    <row r="488" spans="17:17" ht="15.75" customHeight="1" x14ac:dyDescent="0.25">
      <c r="Q488" s="1"/>
    </row>
    <row r="489" spans="17:17" ht="15.75" customHeight="1" x14ac:dyDescent="0.25">
      <c r="Q489" s="1"/>
    </row>
    <row r="490" spans="17:17" ht="15.75" customHeight="1" x14ac:dyDescent="0.25">
      <c r="Q490" s="1"/>
    </row>
    <row r="491" spans="17:17" ht="15.75" customHeight="1" x14ac:dyDescent="0.25">
      <c r="Q491" s="1"/>
    </row>
    <row r="492" spans="17:17" ht="15.75" customHeight="1" x14ac:dyDescent="0.25">
      <c r="Q492" s="1"/>
    </row>
    <row r="493" spans="17:17" ht="15.75" customHeight="1" x14ac:dyDescent="0.25">
      <c r="Q493" s="1"/>
    </row>
    <row r="494" spans="17:17" ht="15.75" customHeight="1" x14ac:dyDescent="0.25">
      <c r="Q494" s="1"/>
    </row>
    <row r="495" spans="17:17" ht="15.75" customHeight="1" x14ac:dyDescent="0.25">
      <c r="Q495" s="1"/>
    </row>
    <row r="496" spans="17:17" ht="15.75" customHeight="1" x14ac:dyDescent="0.25">
      <c r="Q496" s="1"/>
    </row>
    <row r="497" spans="17:17" ht="15.75" customHeight="1" x14ac:dyDescent="0.25">
      <c r="Q497" s="1"/>
    </row>
    <row r="498" spans="17:17" ht="15.75" customHeight="1" x14ac:dyDescent="0.25">
      <c r="Q498" s="1"/>
    </row>
    <row r="499" spans="17:17" ht="15.75" customHeight="1" x14ac:dyDescent="0.25">
      <c r="Q499" s="1"/>
    </row>
    <row r="500" spans="17:17" ht="15.75" customHeight="1" x14ac:dyDescent="0.25">
      <c r="Q500" s="1"/>
    </row>
    <row r="501" spans="17:17" ht="15.75" customHeight="1" x14ac:dyDescent="0.25">
      <c r="Q501" s="1"/>
    </row>
    <row r="502" spans="17:17" ht="15.75" customHeight="1" x14ac:dyDescent="0.25">
      <c r="Q502" s="1"/>
    </row>
    <row r="503" spans="17:17" ht="15.75" customHeight="1" x14ac:dyDescent="0.25">
      <c r="Q503" s="1"/>
    </row>
    <row r="504" spans="17:17" ht="15.75" customHeight="1" x14ac:dyDescent="0.25">
      <c r="Q504" s="1"/>
    </row>
    <row r="505" spans="17:17" ht="15.75" customHeight="1" x14ac:dyDescent="0.25">
      <c r="Q505" s="1"/>
    </row>
    <row r="506" spans="17:17" ht="15.75" customHeight="1" x14ac:dyDescent="0.25">
      <c r="Q506" s="1"/>
    </row>
    <row r="507" spans="17:17" ht="15.75" customHeight="1" x14ac:dyDescent="0.25">
      <c r="Q507" s="1"/>
    </row>
    <row r="508" spans="17:17" ht="15.75" customHeight="1" x14ac:dyDescent="0.25">
      <c r="Q508" s="1"/>
    </row>
    <row r="509" spans="17:17" ht="15.75" customHeight="1" x14ac:dyDescent="0.25">
      <c r="Q509" s="1"/>
    </row>
    <row r="510" spans="17:17" ht="15.75" customHeight="1" x14ac:dyDescent="0.25">
      <c r="Q510" s="1"/>
    </row>
    <row r="511" spans="17:17" ht="15.75" customHeight="1" x14ac:dyDescent="0.25">
      <c r="Q511" s="1"/>
    </row>
    <row r="512" spans="17:17" ht="15.75" customHeight="1" x14ac:dyDescent="0.25">
      <c r="Q512" s="1"/>
    </row>
    <row r="513" spans="17:17" ht="15.75" customHeight="1" x14ac:dyDescent="0.25">
      <c r="Q513" s="1"/>
    </row>
    <row r="514" spans="17:17" ht="15.75" customHeight="1" x14ac:dyDescent="0.25">
      <c r="Q514" s="1"/>
    </row>
    <row r="515" spans="17:17" ht="15.75" customHeight="1" x14ac:dyDescent="0.25">
      <c r="Q515" s="1"/>
    </row>
    <row r="516" spans="17:17" ht="15.75" customHeight="1" x14ac:dyDescent="0.25">
      <c r="Q516" s="1"/>
    </row>
    <row r="517" spans="17:17" ht="15.75" customHeight="1" x14ac:dyDescent="0.25">
      <c r="Q517" s="1"/>
    </row>
    <row r="518" spans="17:17" ht="15.75" customHeight="1" x14ac:dyDescent="0.25">
      <c r="Q518" s="1"/>
    </row>
    <row r="519" spans="17:17" ht="15.75" customHeight="1" x14ac:dyDescent="0.25">
      <c r="Q519" s="1"/>
    </row>
    <row r="520" spans="17:17" ht="15.75" customHeight="1" x14ac:dyDescent="0.25">
      <c r="Q520" s="1"/>
    </row>
    <row r="521" spans="17:17" ht="15.75" customHeight="1" x14ac:dyDescent="0.25">
      <c r="Q521" s="1"/>
    </row>
    <row r="522" spans="17:17" ht="15.75" customHeight="1" x14ac:dyDescent="0.25">
      <c r="Q522" s="1"/>
    </row>
    <row r="523" spans="17:17" ht="15.75" customHeight="1" x14ac:dyDescent="0.25">
      <c r="Q523" s="1"/>
    </row>
    <row r="524" spans="17:17" ht="15.75" customHeight="1" x14ac:dyDescent="0.25">
      <c r="Q524" s="1"/>
    </row>
    <row r="525" spans="17:17" ht="15.75" customHeight="1" x14ac:dyDescent="0.25">
      <c r="Q525" s="1"/>
    </row>
    <row r="526" spans="17:17" ht="15.75" customHeight="1" x14ac:dyDescent="0.25">
      <c r="Q526" s="1"/>
    </row>
    <row r="527" spans="17:17" ht="15.75" customHeight="1" x14ac:dyDescent="0.25">
      <c r="Q527" s="1"/>
    </row>
    <row r="528" spans="17:17" ht="15.75" customHeight="1" x14ac:dyDescent="0.25">
      <c r="Q528" s="1"/>
    </row>
    <row r="529" spans="17:17" ht="15.75" customHeight="1" x14ac:dyDescent="0.25">
      <c r="Q529" s="1"/>
    </row>
    <row r="530" spans="17:17" ht="15.75" customHeight="1" x14ac:dyDescent="0.25">
      <c r="Q530" s="1"/>
    </row>
    <row r="531" spans="17:17" ht="15.75" customHeight="1" x14ac:dyDescent="0.25">
      <c r="Q531" s="1"/>
    </row>
    <row r="532" spans="17:17" ht="15.75" customHeight="1" x14ac:dyDescent="0.25">
      <c r="Q532" s="1"/>
    </row>
    <row r="533" spans="17:17" ht="15.75" customHeight="1" x14ac:dyDescent="0.25">
      <c r="Q533" s="1"/>
    </row>
    <row r="534" spans="17:17" ht="15.75" customHeight="1" x14ac:dyDescent="0.25">
      <c r="Q534" s="1"/>
    </row>
    <row r="535" spans="17:17" ht="15.75" customHeight="1" x14ac:dyDescent="0.25">
      <c r="Q535" s="1"/>
    </row>
    <row r="536" spans="17:17" ht="15.75" customHeight="1" x14ac:dyDescent="0.25">
      <c r="Q536" s="1"/>
    </row>
    <row r="537" spans="17:17" ht="15.75" customHeight="1" x14ac:dyDescent="0.25">
      <c r="Q537" s="1"/>
    </row>
    <row r="538" spans="17:17" ht="15.75" customHeight="1" x14ac:dyDescent="0.25">
      <c r="Q538" s="1"/>
    </row>
    <row r="539" spans="17:17" ht="15.75" customHeight="1" x14ac:dyDescent="0.25">
      <c r="Q539" s="1"/>
    </row>
    <row r="540" spans="17:17" ht="15.75" customHeight="1" x14ac:dyDescent="0.25">
      <c r="Q540" s="1"/>
    </row>
    <row r="541" spans="17:17" ht="15.75" customHeight="1" x14ac:dyDescent="0.25">
      <c r="Q541" s="1"/>
    </row>
    <row r="542" spans="17:17" ht="15.75" customHeight="1" x14ac:dyDescent="0.25">
      <c r="Q542" s="1"/>
    </row>
    <row r="543" spans="17:17" ht="15.75" customHeight="1" x14ac:dyDescent="0.25">
      <c r="Q543" s="1"/>
    </row>
    <row r="544" spans="17:17" ht="15.75" customHeight="1" x14ac:dyDescent="0.25">
      <c r="Q544" s="1"/>
    </row>
    <row r="545" spans="17:17" ht="15.75" customHeight="1" x14ac:dyDescent="0.25">
      <c r="Q545" s="1"/>
    </row>
    <row r="546" spans="17:17" ht="15.75" customHeight="1" x14ac:dyDescent="0.25">
      <c r="Q546" s="1"/>
    </row>
    <row r="547" spans="17:17" ht="15.75" customHeight="1" x14ac:dyDescent="0.25">
      <c r="Q547" s="1"/>
    </row>
    <row r="548" spans="17:17" ht="15.75" customHeight="1" x14ac:dyDescent="0.25">
      <c r="Q548" s="1"/>
    </row>
    <row r="549" spans="17:17" ht="15.75" customHeight="1" x14ac:dyDescent="0.25">
      <c r="Q549" s="1"/>
    </row>
    <row r="550" spans="17:17" ht="15.75" customHeight="1" x14ac:dyDescent="0.25">
      <c r="Q550" s="1"/>
    </row>
    <row r="551" spans="17:17" ht="15.75" customHeight="1" x14ac:dyDescent="0.25">
      <c r="Q551" s="1"/>
    </row>
    <row r="552" spans="17:17" ht="15.75" customHeight="1" x14ac:dyDescent="0.25">
      <c r="Q552" s="1"/>
    </row>
    <row r="553" spans="17:17" ht="15.75" customHeight="1" x14ac:dyDescent="0.25">
      <c r="Q553" s="1"/>
    </row>
    <row r="554" spans="17:17" ht="15.75" customHeight="1" x14ac:dyDescent="0.25">
      <c r="Q554" s="1"/>
    </row>
    <row r="555" spans="17:17" ht="15.75" customHeight="1" x14ac:dyDescent="0.25">
      <c r="Q555" s="1"/>
    </row>
    <row r="556" spans="17:17" ht="15.75" customHeight="1" x14ac:dyDescent="0.25">
      <c r="Q556" s="1"/>
    </row>
    <row r="557" spans="17:17" ht="15.75" customHeight="1" x14ac:dyDescent="0.25">
      <c r="Q557" s="1"/>
    </row>
    <row r="558" spans="17:17" ht="15.75" customHeight="1" x14ac:dyDescent="0.25">
      <c r="Q558" s="1"/>
    </row>
    <row r="559" spans="17:17" ht="15.75" customHeight="1" x14ac:dyDescent="0.25">
      <c r="Q559" s="1"/>
    </row>
    <row r="560" spans="17:17" ht="15.75" customHeight="1" x14ac:dyDescent="0.25">
      <c r="Q560" s="1"/>
    </row>
    <row r="561" spans="17:17" ht="15.75" customHeight="1" x14ac:dyDescent="0.25">
      <c r="Q561" s="1"/>
    </row>
    <row r="562" spans="17:17" ht="15.75" customHeight="1" x14ac:dyDescent="0.25">
      <c r="Q562" s="1"/>
    </row>
    <row r="563" spans="17:17" ht="15.75" customHeight="1" x14ac:dyDescent="0.25">
      <c r="Q563" s="1"/>
    </row>
    <row r="564" spans="17:17" ht="15.75" customHeight="1" x14ac:dyDescent="0.25">
      <c r="Q564" s="1"/>
    </row>
    <row r="565" spans="17:17" ht="15.75" customHeight="1" x14ac:dyDescent="0.25">
      <c r="Q565" s="1"/>
    </row>
    <row r="566" spans="17:17" ht="15.75" customHeight="1" x14ac:dyDescent="0.25">
      <c r="Q566" s="1"/>
    </row>
    <row r="567" spans="17:17" ht="15.75" customHeight="1" x14ac:dyDescent="0.25">
      <c r="Q567" s="1"/>
    </row>
    <row r="568" spans="17:17" ht="15.75" customHeight="1" x14ac:dyDescent="0.25">
      <c r="Q568" s="1"/>
    </row>
    <row r="569" spans="17:17" ht="15.75" customHeight="1" x14ac:dyDescent="0.25">
      <c r="Q569" s="1"/>
    </row>
    <row r="570" spans="17:17" ht="15.75" customHeight="1" x14ac:dyDescent="0.25">
      <c r="Q570" s="1"/>
    </row>
    <row r="571" spans="17:17" ht="15.75" customHeight="1" x14ac:dyDescent="0.25">
      <c r="Q571" s="1"/>
    </row>
    <row r="572" spans="17:17" ht="15.75" customHeight="1" x14ac:dyDescent="0.25">
      <c r="Q572" s="1"/>
    </row>
    <row r="573" spans="17:17" ht="15.75" customHeight="1" x14ac:dyDescent="0.25">
      <c r="Q573" s="1"/>
    </row>
    <row r="574" spans="17:17" ht="15.75" customHeight="1" x14ac:dyDescent="0.25">
      <c r="Q574" s="1"/>
    </row>
    <row r="575" spans="17:17" ht="15.75" customHeight="1" x14ac:dyDescent="0.25">
      <c r="Q575" s="1"/>
    </row>
    <row r="576" spans="17:17" ht="15.75" customHeight="1" x14ac:dyDescent="0.25">
      <c r="Q576" s="1"/>
    </row>
    <row r="577" spans="17:17" ht="15.75" customHeight="1" x14ac:dyDescent="0.25">
      <c r="Q577" s="1"/>
    </row>
    <row r="578" spans="17:17" ht="15.75" customHeight="1" x14ac:dyDescent="0.25">
      <c r="Q578" s="1"/>
    </row>
    <row r="579" spans="17:17" ht="15.75" customHeight="1" x14ac:dyDescent="0.25">
      <c r="Q579" s="1"/>
    </row>
    <row r="580" spans="17:17" ht="15.75" customHeight="1" x14ac:dyDescent="0.25">
      <c r="Q580" s="1"/>
    </row>
    <row r="581" spans="17:17" ht="15.75" customHeight="1" x14ac:dyDescent="0.25">
      <c r="Q581" s="1"/>
    </row>
    <row r="582" spans="17:17" ht="15.75" customHeight="1" x14ac:dyDescent="0.25">
      <c r="Q582" s="1"/>
    </row>
    <row r="583" spans="17:17" ht="15.75" customHeight="1" x14ac:dyDescent="0.25">
      <c r="Q583" s="1"/>
    </row>
    <row r="584" spans="17:17" ht="15.75" customHeight="1" x14ac:dyDescent="0.25">
      <c r="Q584" s="1"/>
    </row>
    <row r="585" spans="17:17" ht="15.75" customHeight="1" x14ac:dyDescent="0.25">
      <c r="Q585" s="1"/>
    </row>
    <row r="586" spans="17:17" ht="15.75" customHeight="1" x14ac:dyDescent="0.25">
      <c r="Q586" s="1"/>
    </row>
    <row r="587" spans="17:17" ht="15.75" customHeight="1" x14ac:dyDescent="0.25">
      <c r="Q587" s="1"/>
    </row>
    <row r="588" spans="17:17" ht="15.75" customHeight="1" x14ac:dyDescent="0.25">
      <c r="Q588" s="1"/>
    </row>
    <row r="589" spans="17:17" ht="15.75" customHeight="1" x14ac:dyDescent="0.25">
      <c r="Q589" s="1"/>
    </row>
    <row r="590" spans="17:17" ht="15.75" customHeight="1" x14ac:dyDescent="0.25">
      <c r="Q590" s="1"/>
    </row>
    <row r="591" spans="17:17" ht="15.75" customHeight="1" x14ac:dyDescent="0.25">
      <c r="Q591" s="1"/>
    </row>
    <row r="592" spans="17:17" ht="15.75" customHeight="1" x14ac:dyDescent="0.25">
      <c r="Q592" s="1"/>
    </row>
    <row r="593" spans="17:17" ht="15.75" customHeight="1" x14ac:dyDescent="0.25">
      <c r="Q593" s="1"/>
    </row>
    <row r="594" spans="17:17" ht="15.75" customHeight="1" x14ac:dyDescent="0.25">
      <c r="Q594" s="1"/>
    </row>
    <row r="595" spans="17:17" ht="15.75" customHeight="1" x14ac:dyDescent="0.25">
      <c r="Q595" s="1"/>
    </row>
    <row r="596" spans="17:17" ht="15.75" customHeight="1" x14ac:dyDescent="0.25">
      <c r="Q596" s="1"/>
    </row>
    <row r="597" spans="17:17" ht="15.75" customHeight="1" x14ac:dyDescent="0.25">
      <c r="Q597" s="1"/>
    </row>
    <row r="598" spans="17:17" ht="15.75" customHeight="1" x14ac:dyDescent="0.25">
      <c r="Q598" s="1"/>
    </row>
    <row r="599" spans="17:17" ht="15.75" customHeight="1" x14ac:dyDescent="0.25">
      <c r="Q599" s="1"/>
    </row>
    <row r="600" spans="17:17" ht="15.75" customHeight="1" x14ac:dyDescent="0.25">
      <c r="Q600" s="1"/>
    </row>
    <row r="601" spans="17:17" ht="15.75" customHeight="1" x14ac:dyDescent="0.25">
      <c r="Q601" s="1"/>
    </row>
    <row r="602" spans="17:17" ht="15.75" customHeight="1" x14ac:dyDescent="0.25">
      <c r="Q602" s="1"/>
    </row>
    <row r="603" spans="17:17" ht="15.75" customHeight="1" x14ac:dyDescent="0.25">
      <c r="Q603" s="1"/>
    </row>
    <row r="604" spans="17:17" ht="15.75" customHeight="1" x14ac:dyDescent="0.25">
      <c r="Q604" s="1"/>
    </row>
    <row r="605" spans="17:17" ht="15.75" customHeight="1" x14ac:dyDescent="0.25">
      <c r="Q605" s="1"/>
    </row>
    <row r="606" spans="17:17" ht="15.75" customHeight="1" x14ac:dyDescent="0.25">
      <c r="Q606" s="1"/>
    </row>
    <row r="607" spans="17:17" ht="15.75" customHeight="1" x14ac:dyDescent="0.25">
      <c r="Q607" s="1"/>
    </row>
    <row r="608" spans="17:17" ht="15.75" customHeight="1" x14ac:dyDescent="0.25">
      <c r="Q608" s="1"/>
    </row>
    <row r="609" spans="17:17" ht="15.75" customHeight="1" x14ac:dyDescent="0.25">
      <c r="Q609" s="1"/>
    </row>
    <row r="610" spans="17:17" ht="15.75" customHeight="1" x14ac:dyDescent="0.25">
      <c r="Q610" s="1"/>
    </row>
    <row r="611" spans="17:17" ht="15.75" customHeight="1" x14ac:dyDescent="0.25">
      <c r="Q611" s="1"/>
    </row>
    <row r="612" spans="17:17" ht="15.75" customHeight="1" x14ac:dyDescent="0.25">
      <c r="Q612" s="1"/>
    </row>
    <row r="613" spans="17:17" ht="15.75" customHeight="1" x14ac:dyDescent="0.25">
      <c r="Q613" s="1"/>
    </row>
    <row r="614" spans="17:17" ht="15.75" customHeight="1" x14ac:dyDescent="0.25">
      <c r="Q614" s="1"/>
    </row>
    <row r="615" spans="17:17" ht="15.75" customHeight="1" x14ac:dyDescent="0.25">
      <c r="Q615" s="1"/>
    </row>
    <row r="616" spans="17:17" ht="15.75" customHeight="1" x14ac:dyDescent="0.25">
      <c r="Q616" s="1"/>
    </row>
    <row r="617" spans="17:17" ht="15.75" customHeight="1" x14ac:dyDescent="0.25">
      <c r="Q617" s="1"/>
    </row>
    <row r="618" spans="17:17" ht="15.75" customHeight="1" x14ac:dyDescent="0.25">
      <c r="Q618" s="1"/>
    </row>
    <row r="619" spans="17:17" ht="15.75" customHeight="1" x14ac:dyDescent="0.25">
      <c r="Q619" s="1"/>
    </row>
    <row r="620" spans="17:17" ht="15.75" customHeight="1" x14ac:dyDescent="0.25">
      <c r="Q620" s="1"/>
    </row>
    <row r="621" spans="17:17" ht="15.75" customHeight="1" x14ac:dyDescent="0.25">
      <c r="Q621" s="1"/>
    </row>
    <row r="622" spans="17:17" ht="15.75" customHeight="1" x14ac:dyDescent="0.25">
      <c r="Q622" s="1"/>
    </row>
    <row r="623" spans="17:17" ht="15.75" customHeight="1" x14ac:dyDescent="0.25">
      <c r="Q623" s="1"/>
    </row>
    <row r="624" spans="17:17" ht="15.75" customHeight="1" x14ac:dyDescent="0.25">
      <c r="Q624" s="1"/>
    </row>
    <row r="625" spans="17:17" ht="15.75" customHeight="1" x14ac:dyDescent="0.25">
      <c r="Q625" s="1"/>
    </row>
    <row r="626" spans="17:17" ht="15.75" customHeight="1" x14ac:dyDescent="0.25">
      <c r="Q626" s="1"/>
    </row>
    <row r="627" spans="17:17" ht="15.75" customHeight="1" x14ac:dyDescent="0.25">
      <c r="Q627" s="1"/>
    </row>
    <row r="628" spans="17:17" ht="15.75" customHeight="1" x14ac:dyDescent="0.25">
      <c r="Q628" s="1"/>
    </row>
    <row r="629" spans="17:17" ht="15.75" customHeight="1" x14ac:dyDescent="0.25">
      <c r="Q629" s="1"/>
    </row>
    <row r="630" spans="17:17" ht="15.75" customHeight="1" x14ac:dyDescent="0.25">
      <c r="Q630" s="1"/>
    </row>
    <row r="631" spans="17:17" ht="15.75" customHeight="1" x14ac:dyDescent="0.25">
      <c r="Q631" s="1"/>
    </row>
    <row r="632" spans="17:17" ht="15.75" customHeight="1" x14ac:dyDescent="0.25">
      <c r="Q632" s="1"/>
    </row>
    <row r="633" spans="17:17" ht="15.75" customHeight="1" x14ac:dyDescent="0.25">
      <c r="Q633" s="1"/>
    </row>
    <row r="634" spans="17:17" ht="15.75" customHeight="1" x14ac:dyDescent="0.25">
      <c r="Q634" s="1"/>
    </row>
    <row r="635" spans="17:17" ht="15.75" customHeight="1" x14ac:dyDescent="0.25">
      <c r="Q635" s="1"/>
    </row>
    <row r="636" spans="17:17" ht="15.75" customHeight="1" x14ac:dyDescent="0.25">
      <c r="Q636" s="1"/>
    </row>
    <row r="637" spans="17:17" ht="15.75" customHeight="1" x14ac:dyDescent="0.25">
      <c r="Q637" s="1"/>
    </row>
    <row r="638" spans="17:17" ht="15.75" customHeight="1" x14ac:dyDescent="0.25">
      <c r="Q638" s="1"/>
    </row>
    <row r="639" spans="17:17" ht="15.75" customHeight="1" x14ac:dyDescent="0.25">
      <c r="Q639" s="1"/>
    </row>
    <row r="640" spans="17:17" ht="15.75" customHeight="1" x14ac:dyDescent="0.25">
      <c r="Q640" s="1"/>
    </row>
    <row r="641" spans="17:17" ht="15.75" customHeight="1" x14ac:dyDescent="0.25">
      <c r="Q641" s="1"/>
    </row>
    <row r="642" spans="17:17" ht="15.75" customHeight="1" x14ac:dyDescent="0.25">
      <c r="Q642" s="1"/>
    </row>
    <row r="643" spans="17:17" ht="15.75" customHeight="1" x14ac:dyDescent="0.25">
      <c r="Q643" s="1"/>
    </row>
    <row r="644" spans="17:17" ht="15.75" customHeight="1" x14ac:dyDescent="0.25">
      <c r="Q644" s="1"/>
    </row>
    <row r="645" spans="17:17" ht="15.75" customHeight="1" x14ac:dyDescent="0.25">
      <c r="Q645" s="1"/>
    </row>
    <row r="646" spans="17:17" ht="15.75" customHeight="1" x14ac:dyDescent="0.25">
      <c r="Q646" s="1"/>
    </row>
    <row r="647" spans="17:17" ht="15.75" customHeight="1" x14ac:dyDescent="0.25">
      <c r="Q647" s="1"/>
    </row>
    <row r="648" spans="17:17" ht="15.75" customHeight="1" x14ac:dyDescent="0.25">
      <c r="Q648" s="1"/>
    </row>
    <row r="649" spans="17:17" ht="15.75" customHeight="1" x14ac:dyDescent="0.25">
      <c r="Q649" s="1"/>
    </row>
    <row r="650" spans="17:17" ht="15.75" customHeight="1" x14ac:dyDescent="0.25">
      <c r="Q650" s="1"/>
    </row>
    <row r="651" spans="17:17" ht="15.75" customHeight="1" x14ac:dyDescent="0.25">
      <c r="Q651" s="1"/>
    </row>
    <row r="652" spans="17:17" ht="15.75" customHeight="1" x14ac:dyDescent="0.25">
      <c r="Q652" s="1"/>
    </row>
    <row r="653" spans="17:17" ht="15.75" customHeight="1" x14ac:dyDescent="0.25">
      <c r="Q653" s="1"/>
    </row>
    <row r="654" spans="17:17" ht="15.75" customHeight="1" x14ac:dyDescent="0.25">
      <c r="Q654" s="1"/>
    </row>
    <row r="655" spans="17:17" ht="15.75" customHeight="1" x14ac:dyDescent="0.25">
      <c r="Q655" s="1"/>
    </row>
    <row r="656" spans="17:17" ht="15.75" customHeight="1" x14ac:dyDescent="0.25">
      <c r="Q656" s="1"/>
    </row>
    <row r="657" spans="17:17" ht="15.75" customHeight="1" x14ac:dyDescent="0.25">
      <c r="Q657" s="1"/>
    </row>
    <row r="658" spans="17:17" ht="15.75" customHeight="1" x14ac:dyDescent="0.25">
      <c r="Q658" s="1"/>
    </row>
    <row r="659" spans="17:17" ht="15.75" customHeight="1" x14ac:dyDescent="0.25">
      <c r="Q659" s="1"/>
    </row>
    <row r="660" spans="17:17" ht="15.75" customHeight="1" x14ac:dyDescent="0.25">
      <c r="Q660" s="1"/>
    </row>
    <row r="661" spans="17:17" ht="15.75" customHeight="1" x14ac:dyDescent="0.25">
      <c r="Q661" s="1"/>
    </row>
    <row r="662" spans="17:17" ht="15.75" customHeight="1" x14ac:dyDescent="0.25">
      <c r="Q662" s="1"/>
    </row>
    <row r="663" spans="17:17" ht="15.75" customHeight="1" x14ac:dyDescent="0.25">
      <c r="Q663" s="1"/>
    </row>
    <row r="664" spans="17:17" ht="15.75" customHeight="1" x14ac:dyDescent="0.25">
      <c r="Q664" s="1"/>
    </row>
    <row r="665" spans="17:17" ht="15.75" customHeight="1" x14ac:dyDescent="0.25">
      <c r="Q665" s="1"/>
    </row>
    <row r="666" spans="17:17" ht="15.75" customHeight="1" x14ac:dyDescent="0.25">
      <c r="Q666" s="1"/>
    </row>
    <row r="667" spans="17:17" ht="15.75" customHeight="1" x14ac:dyDescent="0.25">
      <c r="Q667" s="1"/>
    </row>
    <row r="668" spans="17:17" ht="15.75" customHeight="1" x14ac:dyDescent="0.25">
      <c r="Q668" s="1"/>
    </row>
    <row r="669" spans="17:17" ht="15.75" customHeight="1" x14ac:dyDescent="0.25">
      <c r="Q669" s="1"/>
    </row>
    <row r="670" spans="17:17" ht="15.75" customHeight="1" x14ac:dyDescent="0.25">
      <c r="Q670" s="1"/>
    </row>
    <row r="671" spans="17:17" ht="15.75" customHeight="1" x14ac:dyDescent="0.25">
      <c r="Q671" s="1"/>
    </row>
    <row r="672" spans="17:17" ht="15.75" customHeight="1" x14ac:dyDescent="0.25">
      <c r="Q672" s="1"/>
    </row>
    <row r="673" spans="17:17" ht="15.75" customHeight="1" x14ac:dyDescent="0.25">
      <c r="Q673" s="1"/>
    </row>
    <row r="674" spans="17:17" ht="15.75" customHeight="1" x14ac:dyDescent="0.25">
      <c r="Q674" s="1"/>
    </row>
    <row r="675" spans="17:17" ht="15.75" customHeight="1" x14ac:dyDescent="0.25">
      <c r="Q675" s="1"/>
    </row>
    <row r="676" spans="17:17" ht="15.75" customHeight="1" x14ac:dyDescent="0.25">
      <c r="Q676" s="1"/>
    </row>
    <row r="677" spans="17:17" ht="15.75" customHeight="1" x14ac:dyDescent="0.25">
      <c r="Q677" s="1"/>
    </row>
    <row r="678" spans="17:17" ht="15.75" customHeight="1" x14ac:dyDescent="0.25">
      <c r="Q678" s="1"/>
    </row>
    <row r="679" spans="17:17" ht="15.75" customHeight="1" x14ac:dyDescent="0.25">
      <c r="Q679" s="1"/>
    </row>
    <row r="680" spans="17:17" ht="15.75" customHeight="1" x14ac:dyDescent="0.25">
      <c r="Q680" s="1"/>
    </row>
    <row r="681" spans="17:17" ht="15.75" customHeight="1" x14ac:dyDescent="0.25">
      <c r="Q681" s="1"/>
    </row>
    <row r="682" spans="17:17" ht="15.75" customHeight="1" x14ac:dyDescent="0.25">
      <c r="Q682" s="1"/>
    </row>
    <row r="683" spans="17:17" ht="15.75" customHeight="1" x14ac:dyDescent="0.25">
      <c r="Q683" s="1"/>
    </row>
    <row r="684" spans="17:17" ht="15.75" customHeight="1" x14ac:dyDescent="0.25">
      <c r="Q684" s="1"/>
    </row>
    <row r="685" spans="17:17" ht="15.75" customHeight="1" x14ac:dyDescent="0.25">
      <c r="Q685" s="1"/>
    </row>
    <row r="686" spans="17:17" ht="15.75" customHeight="1" x14ac:dyDescent="0.25">
      <c r="Q686" s="1"/>
    </row>
    <row r="687" spans="17:17" ht="15.75" customHeight="1" x14ac:dyDescent="0.25">
      <c r="Q687" s="1"/>
    </row>
    <row r="688" spans="17:17" ht="15.75" customHeight="1" x14ac:dyDescent="0.25">
      <c r="Q688" s="1"/>
    </row>
    <row r="689" spans="17:17" ht="15.75" customHeight="1" x14ac:dyDescent="0.25">
      <c r="Q689" s="1"/>
    </row>
    <row r="690" spans="17:17" ht="15.75" customHeight="1" x14ac:dyDescent="0.25">
      <c r="Q690" s="1"/>
    </row>
    <row r="691" spans="17:17" ht="15.75" customHeight="1" x14ac:dyDescent="0.25">
      <c r="Q691" s="1"/>
    </row>
    <row r="692" spans="17:17" ht="15.75" customHeight="1" x14ac:dyDescent="0.25">
      <c r="Q692" s="1"/>
    </row>
    <row r="693" spans="17:17" ht="15.75" customHeight="1" x14ac:dyDescent="0.25">
      <c r="Q693" s="1"/>
    </row>
    <row r="694" spans="17:17" ht="15.75" customHeight="1" x14ac:dyDescent="0.25">
      <c r="Q694" s="1"/>
    </row>
    <row r="695" spans="17:17" ht="15.75" customHeight="1" x14ac:dyDescent="0.25">
      <c r="Q695" s="1"/>
    </row>
    <row r="696" spans="17:17" ht="15.75" customHeight="1" x14ac:dyDescent="0.25">
      <c r="Q696" s="1"/>
    </row>
    <row r="697" spans="17:17" ht="15.75" customHeight="1" x14ac:dyDescent="0.25">
      <c r="Q697" s="1"/>
    </row>
    <row r="698" spans="17:17" ht="15.75" customHeight="1" x14ac:dyDescent="0.25">
      <c r="Q698" s="1"/>
    </row>
    <row r="699" spans="17:17" ht="15.75" customHeight="1" x14ac:dyDescent="0.25">
      <c r="Q699" s="1"/>
    </row>
    <row r="700" spans="17:17" ht="15.75" customHeight="1" x14ac:dyDescent="0.25">
      <c r="Q700" s="1"/>
    </row>
    <row r="701" spans="17:17" ht="15.75" customHeight="1" x14ac:dyDescent="0.25">
      <c r="Q701" s="1"/>
    </row>
    <row r="702" spans="17:17" ht="15.75" customHeight="1" x14ac:dyDescent="0.25">
      <c r="Q702" s="1"/>
    </row>
    <row r="703" spans="17:17" ht="15.75" customHeight="1" x14ac:dyDescent="0.25">
      <c r="Q703" s="1"/>
    </row>
    <row r="704" spans="17:17" ht="15.75" customHeight="1" x14ac:dyDescent="0.25">
      <c r="Q704" s="1"/>
    </row>
    <row r="705" spans="17:17" ht="15.75" customHeight="1" x14ac:dyDescent="0.25">
      <c r="Q705" s="1"/>
    </row>
    <row r="706" spans="17:17" ht="15.75" customHeight="1" x14ac:dyDescent="0.25">
      <c r="Q706" s="1"/>
    </row>
    <row r="707" spans="17:17" ht="15.75" customHeight="1" x14ac:dyDescent="0.25">
      <c r="Q707" s="1"/>
    </row>
    <row r="708" spans="17:17" ht="15.75" customHeight="1" x14ac:dyDescent="0.25">
      <c r="Q708" s="1"/>
    </row>
    <row r="709" spans="17:17" ht="15.75" customHeight="1" x14ac:dyDescent="0.25">
      <c r="Q709" s="1"/>
    </row>
    <row r="710" spans="17:17" ht="15.75" customHeight="1" x14ac:dyDescent="0.25">
      <c r="Q710" s="1"/>
    </row>
    <row r="711" spans="17:17" ht="15.75" customHeight="1" x14ac:dyDescent="0.25">
      <c r="Q711" s="1"/>
    </row>
    <row r="712" spans="17:17" ht="15.75" customHeight="1" x14ac:dyDescent="0.25">
      <c r="Q712" s="1"/>
    </row>
    <row r="713" spans="17:17" ht="15.75" customHeight="1" x14ac:dyDescent="0.25">
      <c r="Q713" s="1"/>
    </row>
    <row r="714" spans="17:17" ht="15.75" customHeight="1" x14ac:dyDescent="0.25">
      <c r="Q714" s="1"/>
    </row>
    <row r="715" spans="17:17" ht="15.75" customHeight="1" x14ac:dyDescent="0.25">
      <c r="Q715" s="1"/>
    </row>
    <row r="716" spans="17:17" ht="15.75" customHeight="1" x14ac:dyDescent="0.25">
      <c r="Q716" s="1"/>
    </row>
    <row r="717" spans="17:17" ht="15.75" customHeight="1" x14ac:dyDescent="0.25">
      <c r="Q717" s="1"/>
    </row>
    <row r="718" spans="17:17" ht="15.75" customHeight="1" x14ac:dyDescent="0.25">
      <c r="Q718" s="1"/>
    </row>
    <row r="719" spans="17:17" ht="15.75" customHeight="1" x14ac:dyDescent="0.25">
      <c r="Q719" s="1"/>
    </row>
    <row r="720" spans="17:17" ht="15.75" customHeight="1" x14ac:dyDescent="0.25">
      <c r="Q720" s="1"/>
    </row>
    <row r="721" spans="17:17" ht="15.75" customHeight="1" x14ac:dyDescent="0.25">
      <c r="Q721" s="1"/>
    </row>
    <row r="722" spans="17:17" ht="15.75" customHeight="1" x14ac:dyDescent="0.25">
      <c r="Q722" s="1"/>
    </row>
    <row r="723" spans="17:17" ht="15.75" customHeight="1" x14ac:dyDescent="0.25">
      <c r="Q723" s="1"/>
    </row>
    <row r="724" spans="17:17" ht="15.75" customHeight="1" x14ac:dyDescent="0.25">
      <c r="Q724" s="1"/>
    </row>
    <row r="725" spans="17:17" ht="15.75" customHeight="1" x14ac:dyDescent="0.25">
      <c r="Q725" s="1"/>
    </row>
    <row r="726" spans="17:17" ht="15.75" customHeight="1" x14ac:dyDescent="0.25">
      <c r="Q726" s="1"/>
    </row>
    <row r="727" spans="17:17" ht="15.75" customHeight="1" x14ac:dyDescent="0.25">
      <c r="Q727" s="1"/>
    </row>
    <row r="728" spans="17:17" ht="15.75" customHeight="1" x14ac:dyDescent="0.25">
      <c r="Q728" s="1"/>
    </row>
    <row r="729" spans="17:17" ht="15.75" customHeight="1" x14ac:dyDescent="0.25">
      <c r="Q729" s="1"/>
    </row>
    <row r="730" spans="17:17" ht="15.75" customHeight="1" x14ac:dyDescent="0.25">
      <c r="Q730" s="1"/>
    </row>
    <row r="731" spans="17:17" ht="15.75" customHeight="1" x14ac:dyDescent="0.25">
      <c r="Q731" s="1"/>
    </row>
    <row r="732" spans="17:17" ht="15.75" customHeight="1" x14ac:dyDescent="0.25">
      <c r="Q732" s="1"/>
    </row>
    <row r="733" spans="17:17" ht="15.75" customHeight="1" x14ac:dyDescent="0.25">
      <c r="Q733" s="1"/>
    </row>
    <row r="734" spans="17:17" ht="15.75" customHeight="1" x14ac:dyDescent="0.25">
      <c r="Q734" s="1"/>
    </row>
    <row r="735" spans="17:17" ht="15.75" customHeight="1" x14ac:dyDescent="0.25">
      <c r="Q735" s="1"/>
    </row>
    <row r="736" spans="17:17" ht="15.75" customHeight="1" x14ac:dyDescent="0.25">
      <c r="Q736" s="1"/>
    </row>
    <row r="737" spans="17:17" ht="15.75" customHeight="1" x14ac:dyDescent="0.25">
      <c r="Q737" s="1"/>
    </row>
    <row r="738" spans="17:17" ht="15.75" customHeight="1" x14ac:dyDescent="0.25">
      <c r="Q738" s="1"/>
    </row>
    <row r="739" spans="17:17" ht="15.75" customHeight="1" x14ac:dyDescent="0.25">
      <c r="Q739" s="1"/>
    </row>
    <row r="740" spans="17:17" ht="15.75" customHeight="1" x14ac:dyDescent="0.25">
      <c r="Q740" s="1"/>
    </row>
    <row r="741" spans="17:17" ht="15.75" customHeight="1" x14ac:dyDescent="0.25">
      <c r="Q741" s="1"/>
    </row>
    <row r="742" spans="17:17" ht="15.75" customHeight="1" x14ac:dyDescent="0.25">
      <c r="Q742" s="1"/>
    </row>
    <row r="743" spans="17:17" ht="15.75" customHeight="1" x14ac:dyDescent="0.25">
      <c r="Q743" s="1"/>
    </row>
    <row r="744" spans="17:17" ht="15.75" customHeight="1" x14ac:dyDescent="0.25">
      <c r="Q744" s="1"/>
    </row>
    <row r="745" spans="17:17" ht="15.75" customHeight="1" x14ac:dyDescent="0.25">
      <c r="Q745" s="1"/>
    </row>
    <row r="746" spans="17:17" ht="15.75" customHeight="1" x14ac:dyDescent="0.25">
      <c r="Q746" s="1"/>
    </row>
    <row r="747" spans="17:17" ht="15.75" customHeight="1" x14ac:dyDescent="0.25">
      <c r="Q747" s="1"/>
    </row>
    <row r="748" spans="17:17" ht="15.75" customHeight="1" x14ac:dyDescent="0.25">
      <c r="Q748" s="1"/>
    </row>
    <row r="749" spans="17:17" ht="15.75" customHeight="1" x14ac:dyDescent="0.25">
      <c r="Q749" s="1"/>
    </row>
    <row r="750" spans="17:17" ht="15.75" customHeight="1" x14ac:dyDescent="0.25">
      <c r="Q750" s="1"/>
    </row>
    <row r="751" spans="17:17" ht="15.75" customHeight="1" x14ac:dyDescent="0.25">
      <c r="Q751" s="1"/>
    </row>
    <row r="752" spans="17:17" ht="15.75" customHeight="1" x14ac:dyDescent="0.25">
      <c r="Q752" s="1"/>
    </row>
    <row r="753" spans="17:17" ht="15.75" customHeight="1" x14ac:dyDescent="0.25">
      <c r="Q753" s="1"/>
    </row>
    <row r="754" spans="17:17" ht="15.75" customHeight="1" x14ac:dyDescent="0.25">
      <c r="Q754" s="1"/>
    </row>
    <row r="755" spans="17:17" ht="15.75" customHeight="1" x14ac:dyDescent="0.25">
      <c r="Q755" s="1"/>
    </row>
    <row r="756" spans="17:17" ht="15.75" customHeight="1" x14ac:dyDescent="0.25">
      <c r="Q756" s="1"/>
    </row>
    <row r="757" spans="17:17" ht="15.75" customHeight="1" x14ac:dyDescent="0.25">
      <c r="Q757" s="1"/>
    </row>
    <row r="758" spans="17:17" ht="15.75" customHeight="1" x14ac:dyDescent="0.25">
      <c r="Q758" s="1"/>
    </row>
    <row r="759" spans="17:17" ht="15.75" customHeight="1" x14ac:dyDescent="0.25">
      <c r="Q759" s="1"/>
    </row>
    <row r="760" spans="17:17" ht="15.75" customHeight="1" x14ac:dyDescent="0.25">
      <c r="Q760" s="1"/>
    </row>
    <row r="761" spans="17:17" ht="15.75" customHeight="1" x14ac:dyDescent="0.25">
      <c r="Q761" s="1"/>
    </row>
    <row r="762" spans="17:17" ht="15.75" customHeight="1" x14ac:dyDescent="0.25">
      <c r="Q762" s="1"/>
    </row>
    <row r="763" spans="17:17" ht="15.75" customHeight="1" x14ac:dyDescent="0.25">
      <c r="Q763" s="1"/>
    </row>
    <row r="764" spans="17:17" ht="15.75" customHeight="1" x14ac:dyDescent="0.25">
      <c r="Q764" s="1"/>
    </row>
    <row r="765" spans="17:17" ht="15.75" customHeight="1" x14ac:dyDescent="0.25">
      <c r="Q765" s="1"/>
    </row>
    <row r="766" spans="17:17" ht="15.75" customHeight="1" x14ac:dyDescent="0.25">
      <c r="Q766" s="1"/>
    </row>
    <row r="767" spans="17:17" ht="15.75" customHeight="1" x14ac:dyDescent="0.25">
      <c r="Q767" s="1"/>
    </row>
    <row r="768" spans="17:17" ht="15.75" customHeight="1" x14ac:dyDescent="0.25">
      <c r="Q768" s="1"/>
    </row>
    <row r="769" spans="17:17" ht="15.75" customHeight="1" x14ac:dyDescent="0.25">
      <c r="Q769" s="1"/>
    </row>
    <row r="770" spans="17:17" ht="15.75" customHeight="1" x14ac:dyDescent="0.25">
      <c r="Q770" s="1"/>
    </row>
    <row r="771" spans="17:17" ht="15.75" customHeight="1" x14ac:dyDescent="0.25">
      <c r="Q771" s="1"/>
    </row>
    <row r="772" spans="17:17" ht="15.75" customHeight="1" x14ac:dyDescent="0.25">
      <c r="Q772" s="1"/>
    </row>
    <row r="773" spans="17:17" ht="15.75" customHeight="1" x14ac:dyDescent="0.25">
      <c r="Q773" s="1"/>
    </row>
    <row r="774" spans="17:17" ht="15.75" customHeight="1" x14ac:dyDescent="0.25">
      <c r="Q774" s="1"/>
    </row>
    <row r="775" spans="17:17" ht="15.75" customHeight="1" x14ac:dyDescent="0.25">
      <c r="Q775" s="1"/>
    </row>
    <row r="776" spans="17:17" ht="15.75" customHeight="1" x14ac:dyDescent="0.25">
      <c r="Q776" s="1"/>
    </row>
    <row r="777" spans="17:17" ht="15.75" customHeight="1" x14ac:dyDescent="0.25">
      <c r="Q777" s="1"/>
    </row>
    <row r="778" spans="17:17" ht="15.75" customHeight="1" x14ac:dyDescent="0.25">
      <c r="Q778" s="1"/>
    </row>
    <row r="779" spans="17:17" ht="15.75" customHeight="1" x14ac:dyDescent="0.25">
      <c r="Q779" s="1"/>
    </row>
    <row r="780" spans="17:17" ht="15.75" customHeight="1" x14ac:dyDescent="0.25">
      <c r="Q780" s="1"/>
    </row>
    <row r="781" spans="17:17" ht="15.75" customHeight="1" x14ac:dyDescent="0.25">
      <c r="Q781" s="1"/>
    </row>
    <row r="782" spans="17:17" ht="15.75" customHeight="1" x14ac:dyDescent="0.25">
      <c r="Q782" s="1"/>
    </row>
    <row r="783" spans="17:17" ht="15.75" customHeight="1" x14ac:dyDescent="0.25">
      <c r="Q783" s="1"/>
    </row>
    <row r="784" spans="17:17" ht="15.75" customHeight="1" x14ac:dyDescent="0.25">
      <c r="Q784" s="1"/>
    </row>
    <row r="785" spans="17:17" ht="15.75" customHeight="1" x14ac:dyDescent="0.25">
      <c r="Q785" s="1"/>
    </row>
    <row r="786" spans="17:17" ht="15.75" customHeight="1" x14ac:dyDescent="0.25">
      <c r="Q786" s="1"/>
    </row>
    <row r="787" spans="17:17" ht="15.75" customHeight="1" x14ac:dyDescent="0.25">
      <c r="Q787" s="1"/>
    </row>
    <row r="788" spans="17:17" ht="15.75" customHeight="1" x14ac:dyDescent="0.25">
      <c r="Q788" s="1"/>
    </row>
    <row r="789" spans="17:17" ht="15.75" customHeight="1" x14ac:dyDescent="0.25">
      <c r="Q789" s="1"/>
    </row>
    <row r="790" spans="17:17" ht="15.75" customHeight="1" x14ac:dyDescent="0.25">
      <c r="Q790" s="1"/>
    </row>
    <row r="791" spans="17:17" ht="15.75" customHeight="1" x14ac:dyDescent="0.25">
      <c r="Q791" s="1"/>
    </row>
    <row r="792" spans="17:17" ht="15.75" customHeight="1" x14ac:dyDescent="0.25">
      <c r="Q792" s="1"/>
    </row>
    <row r="793" spans="17:17" ht="15.75" customHeight="1" x14ac:dyDescent="0.25">
      <c r="Q793" s="1"/>
    </row>
    <row r="794" spans="17:17" ht="15.75" customHeight="1" x14ac:dyDescent="0.25">
      <c r="Q794" s="1"/>
    </row>
    <row r="795" spans="17:17" ht="15.75" customHeight="1" x14ac:dyDescent="0.25">
      <c r="Q795" s="1"/>
    </row>
    <row r="796" spans="17:17" ht="15.75" customHeight="1" x14ac:dyDescent="0.25">
      <c r="Q796" s="1"/>
    </row>
    <row r="797" spans="17:17" ht="15.75" customHeight="1" x14ac:dyDescent="0.25">
      <c r="Q797" s="1"/>
    </row>
    <row r="798" spans="17:17" ht="15.75" customHeight="1" x14ac:dyDescent="0.25">
      <c r="Q798" s="1"/>
    </row>
    <row r="799" spans="17:17" ht="15.75" customHeight="1" x14ac:dyDescent="0.25">
      <c r="Q799" s="1"/>
    </row>
    <row r="800" spans="17:17" ht="15.75" customHeight="1" x14ac:dyDescent="0.25">
      <c r="Q800" s="1"/>
    </row>
    <row r="801" spans="17:17" ht="15.75" customHeight="1" x14ac:dyDescent="0.25">
      <c r="Q801" s="1"/>
    </row>
    <row r="802" spans="17:17" ht="15.75" customHeight="1" x14ac:dyDescent="0.25">
      <c r="Q802" s="1"/>
    </row>
    <row r="803" spans="17:17" ht="15.75" customHeight="1" x14ac:dyDescent="0.25">
      <c r="Q803" s="1"/>
    </row>
    <row r="804" spans="17:17" ht="15.75" customHeight="1" x14ac:dyDescent="0.25">
      <c r="Q804" s="1"/>
    </row>
    <row r="805" spans="17:17" ht="15.75" customHeight="1" x14ac:dyDescent="0.25">
      <c r="Q805" s="1"/>
    </row>
    <row r="806" spans="17:17" ht="15.75" customHeight="1" x14ac:dyDescent="0.25">
      <c r="Q806" s="1"/>
    </row>
    <row r="807" spans="17:17" ht="15.75" customHeight="1" x14ac:dyDescent="0.25">
      <c r="Q807" s="1"/>
    </row>
    <row r="808" spans="17:17" ht="15.75" customHeight="1" x14ac:dyDescent="0.25">
      <c r="Q808" s="1"/>
    </row>
    <row r="809" spans="17:17" ht="15.75" customHeight="1" x14ac:dyDescent="0.25">
      <c r="Q809" s="1"/>
    </row>
    <row r="810" spans="17:17" ht="15.75" customHeight="1" x14ac:dyDescent="0.25">
      <c r="Q810" s="1"/>
    </row>
    <row r="811" spans="17:17" ht="15.75" customHeight="1" x14ac:dyDescent="0.25">
      <c r="Q811" s="1"/>
    </row>
    <row r="812" spans="17:17" ht="15.75" customHeight="1" x14ac:dyDescent="0.25">
      <c r="Q812" s="1"/>
    </row>
    <row r="813" spans="17:17" ht="15.75" customHeight="1" x14ac:dyDescent="0.25">
      <c r="Q813" s="1"/>
    </row>
    <row r="814" spans="17:17" ht="15.75" customHeight="1" x14ac:dyDescent="0.25">
      <c r="Q814" s="1"/>
    </row>
    <row r="815" spans="17:17" ht="15.75" customHeight="1" x14ac:dyDescent="0.25">
      <c r="Q815" s="1"/>
    </row>
    <row r="816" spans="17:17" ht="15.75" customHeight="1" x14ac:dyDescent="0.25">
      <c r="Q816" s="1"/>
    </row>
    <row r="817" spans="17:17" ht="15.75" customHeight="1" x14ac:dyDescent="0.25">
      <c r="Q817" s="1"/>
    </row>
    <row r="818" spans="17:17" ht="15.75" customHeight="1" x14ac:dyDescent="0.25">
      <c r="Q818" s="1"/>
    </row>
    <row r="819" spans="17:17" ht="15.75" customHeight="1" x14ac:dyDescent="0.25">
      <c r="Q819" s="1"/>
    </row>
    <row r="820" spans="17:17" ht="15.75" customHeight="1" x14ac:dyDescent="0.25">
      <c r="Q820" s="1"/>
    </row>
    <row r="821" spans="17:17" ht="15.75" customHeight="1" x14ac:dyDescent="0.25">
      <c r="Q821" s="1"/>
    </row>
    <row r="822" spans="17:17" ht="15.75" customHeight="1" x14ac:dyDescent="0.25">
      <c r="Q822" s="1"/>
    </row>
    <row r="823" spans="17:17" ht="15.75" customHeight="1" x14ac:dyDescent="0.25">
      <c r="Q823" s="1"/>
    </row>
    <row r="824" spans="17:17" ht="15.75" customHeight="1" x14ac:dyDescent="0.25">
      <c r="Q824" s="1"/>
    </row>
    <row r="825" spans="17:17" ht="15.75" customHeight="1" x14ac:dyDescent="0.25">
      <c r="Q825" s="1"/>
    </row>
    <row r="826" spans="17:17" ht="15.75" customHeight="1" x14ac:dyDescent="0.25">
      <c r="Q826" s="1"/>
    </row>
    <row r="827" spans="17:17" ht="15.75" customHeight="1" x14ac:dyDescent="0.25">
      <c r="Q827" s="1"/>
    </row>
    <row r="828" spans="17:17" ht="15.75" customHeight="1" x14ac:dyDescent="0.25">
      <c r="Q828" s="1"/>
    </row>
    <row r="829" spans="17:17" ht="15.75" customHeight="1" x14ac:dyDescent="0.25">
      <c r="Q829" s="1"/>
    </row>
    <row r="830" spans="17:17" ht="15.75" customHeight="1" x14ac:dyDescent="0.25">
      <c r="Q830" s="1"/>
    </row>
    <row r="831" spans="17:17" ht="15.75" customHeight="1" x14ac:dyDescent="0.25">
      <c r="Q831" s="1"/>
    </row>
    <row r="832" spans="17:17" ht="15.75" customHeight="1" x14ac:dyDescent="0.25">
      <c r="Q832" s="1"/>
    </row>
    <row r="833" spans="17:17" ht="15.75" customHeight="1" x14ac:dyDescent="0.25">
      <c r="Q833" s="1"/>
    </row>
    <row r="834" spans="17:17" ht="15.75" customHeight="1" x14ac:dyDescent="0.25">
      <c r="Q834" s="1"/>
    </row>
    <row r="835" spans="17:17" ht="15.75" customHeight="1" x14ac:dyDescent="0.25">
      <c r="Q835" s="1"/>
    </row>
    <row r="836" spans="17:17" ht="15.75" customHeight="1" x14ac:dyDescent="0.25">
      <c r="Q836" s="1"/>
    </row>
    <row r="837" spans="17:17" ht="15.75" customHeight="1" x14ac:dyDescent="0.25">
      <c r="Q837" s="1"/>
    </row>
    <row r="838" spans="17:17" ht="15.75" customHeight="1" x14ac:dyDescent="0.25">
      <c r="Q838" s="1"/>
    </row>
    <row r="839" spans="17:17" ht="15.75" customHeight="1" x14ac:dyDescent="0.25">
      <c r="Q839" s="1"/>
    </row>
    <row r="840" spans="17:17" ht="15.75" customHeight="1" x14ac:dyDescent="0.25">
      <c r="Q840" s="1"/>
    </row>
    <row r="841" spans="17:17" ht="15.75" customHeight="1" x14ac:dyDescent="0.25">
      <c r="Q841" s="1"/>
    </row>
    <row r="842" spans="17:17" ht="15.75" customHeight="1" x14ac:dyDescent="0.25">
      <c r="Q842" s="1"/>
    </row>
    <row r="843" spans="17:17" ht="15.75" customHeight="1" x14ac:dyDescent="0.25">
      <c r="Q843" s="1"/>
    </row>
    <row r="844" spans="17:17" ht="15.75" customHeight="1" x14ac:dyDescent="0.25">
      <c r="Q844" s="1"/>
    </row>
    <row r="845" spans="17:17" ht="15.75" customHeight="1" x14ac:dyDescent="0.25">
      <c r="Q845" s="1"/>
    </row>
    <row r="846" spans="17:17" ht="15.75" customHeight="1" x14ac:dyDescent="0.25">
      <c r="Q846" s="1"/>
    </row>
    <row r="847" spans="17:17" ht="15.75" customHeight="1" x14ac:dyDescent="0.25">
      <c r="Q847" s="1"/>
    </row>
    <row r="848" spans="17:17" ht="15.75" customHeight="1" x14ac:dyDescent="0.25">
      <c r="Q848" s="1"/>
    </row>
    <row r="849" spans="17:17" ht="15.75" customHeight="1" x14ac:dyDescent="0.25">
      <c r="Q849" s="1"/>
    </row>
    <row r="850" spans="17:17" ht="15.75" customHeight="1" x14ac:dyDescent="0.25">
      <c r="Q850" s="1"/>
    </row>
    <row r="851" spans="17:17" ht="15.75" customHeight="1" x14ac:dyDescent="0.25">
      <c r="Q851" s="1"/>
    </row>
    <row r="852" spans="17:17" ht="15.75" customHeight="1" x14ac:dyDescent="0.25">
      <c r="Q852" s="1"/>
    </row>
    <row r="853" spans="17:17" ht="15.75" customHeight="1" x14ac:dyDescent="0.25">
      <c r="Q853" s="1"/>
    </row>
    <row r="854" spans="17:17" ht="15.75" customHeight="1" x14ac:dyDescent="0.25">
      <c r="Q854" s="1"/>
    </row>
    <row r="855" spans="17:17" ht="15.75" customHeight="1" x14ac:dyDescent="0.25">
      <c r="Q855" s="1"/>
    </row>
    <row r="856" spans="17:17" ht="15.75" customHeight="1" x14ac:dyDescent="0.25">
      <c r="Q856" s="1"/>
    </row>
    <row r="857" spans="17:17" ht="15.75" customHeight="1" x14ac:dyDescent="0.25">
      <c r="Q857" s="1"/>
    </row>
    <row r="858" spans="17:17" ht="15.75" customHeight="1" x14ac:dyDescent="0.25">
      <c r="Q858" s="1"/>
    </row>
    <row r="859" spans="17:17" ht="15.75" customHeight="1" x14ac:dyDescent="0.25">
      <c r="Q859" s="1"/>
    </row>
    <row r="860" spans="17:17" ht="15.75" customHeight="1" x14ac:dyDescent="0.25">
      <c r="Q860" s="1"/>
    </row>
    <row r="861" spans="17:17" ht="15.75" customHeight="1" x14ac:dyDescent="0.25">
      <c r="Q861" s="1"/>
    </row>
    <row r="862" spans="17:17" ht="15.75" customHeight="1" x14ac:dyDescent="0.25">
      <c r="Q862" s="1"/>
    </row>
    <row r="863" spans="17:17" ht="15.75" customHeight="1" x14ac:dyDescent="0.25">
      <c r="Q863" s="1"/>
    </row>
    <row r="864" spans="17:17" ht="15.75" customHeight="1" x14ac:dyDescent="0.25">
      <c r="Q864" s="1"/>
    </row>
    <row r="865" spans="17:17" ht="15.75" customHeight="1" x14ac:dyDescent="0.25">
      <c r="Q865" s="1"/>
    </row>
    <row r="866" spans="17:17" ht="15.75" customHeight="1" x14ac:dyDescent="0.25">
      <c r="Q866" s="1"/>
    </row>
    <row r="867" spans="17:17" ht="15.75" customHeight="1" x14ac:dyDescent="0.25">
      <c r="Q867" s="1"/>
    </row>
    <row r="868" spans="17:17" ht="15.75" customHeight="1" x14ac:dyDescent="0.25">
      <c r="Q868" s="1"/>
    </row>
    <row r="869" spans="17:17" ht="15.75" customHeight="1" x14ac:dyDescent="0.25">
      <c r="Q869" s="1"/>
    </row>
    <row r="870" spans="17:17" ht="15.75" customHeight="1" x14ac:dyDescent="0.25">
      <c r="Q870" s="1"/>
    </row>
    <row r="871" spans="17:17" ht="15.75" customHeight="1" x14ac:dyDescent="0.25">
      <c r="Q871" s="1"/>
    </row>
    <row r="872" spans="17:17" ht="15.75" customHeight="1" x14ac:dyDescent="0.25">
      <c r="Q872" s="1"/>
    </row>
    <row r="873" spans="17:17" ht="15.75" customHeight="1" x14ac:dyDescent="0.25">
      <c r="Q873" s="1"/>
    </row>
    <row r="874" spans="17:17" ht="15.75" customHeight="1" x14ac:dyDescent="0.25">
      <c r="Q874" s="1"/>
    </row>
    <row r="875" spans="17:17" ht="15.75" customHeight="1" x14ac:dyDescent="0.25">
      <c r="Q875" s="1"/>
    </row>
    <row r="876" spans="17:17" ht="15.75" customHeight="1" x14ac:dyDescent="0.25">
      <c r="Q876" s="1"/>
    </row>
    <row r="877" spans="17:17" ht="15.75" customHeight="1" x14ac:dyDescent="0.25">
      <c r="Q877" s="1"/>
    </row>
    <row r="878" spans="17:17" ht="15.75" customHeight="1" x14ac:dyDescent="0.25">
      <c r="Q878" s="1"/>
    </row>
    <row r="879" spans="17:17" ht="15.75" customHeight="1" x14ac:dyDescent="0.25">
      <c r="Q879" s="1"/>
    </row>
    <row r="880" spans="17:17" ht="15.75" customHeight="1" x14ac:dyDescent="0.25">
      <c r="Q880" s="1"/>
    </row>
    <row r="881" spans="17:17" ht="15.75" customHeight="1" x14ac:dyDescent="0.25">
      <c r="Q881" s="1"/>
    </row>
    <row r="882" spans="17:17" ht="15.75" customHeight="1" x14ac:dyDescent="0.25">
      <c r="Q882" s="1"/>
    </row>
    <row r="883" spans="17:17" ht="15.75" customHeight="1" x14ac:dyDescent="0.25">
      <c r="Q883" s="1"/>
    </row>
    <row r="884" spans="17:17" ht="15.75" customHeight="1" x14ac:dyDescent="0.25">
      <c r="Q884" s="1"/>
    </row>
    <row r="885" spans="17:17" ht="15.75" customHeight="1" x14ac:dyDescent="0.25">
      <c r="Q885" s="1"/>
    </row>
    <row r="886" spans="17:17" ht="15.75" customHeight="1" x14ac:dyDescent="0.25">
      <c r="Q886" s="1"/>
    </row>
    <row r="887" spans="17:17" ht="15.75" customHeight="1" x14ac:dyDescent="0.25">
      <c r="Q887" s="1"/>
    </row>
    <row r="888" spans="17:17" ht="15.75" customHeight="1" x14ac:dyDescent="0.25">
      <c r="Q888" s="1"/>
    </row>
    <row r="889" spans="17:17" ht="15.75" customHeight="1" x14ac:dyDescent="0.25">
      <c r="Q889" s="1"/>
    </row>
    <row r="890" spans="17:17" ht="15.75" customHeight="1" x14ac:dyDescent="0.25">
      <c r="Q890" s="1"/>
    </row>
    <row r="891" spans="17:17" ht="15.75" customHeight="1" x14ac:dyDescent="0.25">
      <c r="Q891" s="1"/>
    </row>
    <row r="892" spans="17:17" ht="15.75" customHeight="1" x14ac:dyDescent="0.25">
      <c r="Q892" s="1"/>
    </row>
    <row r="893" spans="17:17" ht="15.75" customHeight="1" x14ac:dyDescent="0.25">
      <c r="Q893" s="1"/>
    </row>
    <row r="894" spans="17:17" ht="15.75" customHeight="1" x14ac:dyDescent="0.25">
      <c r="Q894" s="1"/>
    </row>
    <row r="895" spans="17:17" ht="15.75" customHeight="1" x14ac:dyDescent="0.25">
      <c r="Q895" s="1"/>
    </row>
    <row r="896" spans="17:17" ht="15.75" customHeight="1" x14ac:dyDescent="0.25">
      <c r="Q896" s="1"/>
    </row>
    <row r="897" spans="17:17" ht="15.75" customHeight="1" x14ac:dyDescent="0.25">
      <c r="Q897" s="1"/>
    </row>
    <row r="898" spans="17:17" ht="15.75" customHeight="1" x14ac:dyDescent="0.25">
      <c r="Q898" s="1"/>
    </row>
    <row r="899" spans="17:17" ht="15.75" customHeight="1" x14ac:dyDescent="0.25">
      <c r="Q899" s="1"/>
    </row>
    <row r="900" spans="17:17" ht="15.75" customHeight="1" x14ac:dyDescent="0.25">
      <c r="Q900" s="1"/>
    </row>
    <row r="901" spans="17:17" ht="15.75" customHeight="1" x14ac:dyDescent="0.25">
      <c r="Q901" s="1"/>
    </row>
    <row r="902" spans="17:17" ht="15.75" customHeight="1" x14ac:dyDescent="0.25">
      <c r="Q902" s="1"/>
    </row>
    <row r="903" spans="17:17" ht="15.75" customHeight="1" x14ac:dyDescent="0.25">
      <c r="Q903" s="1"/>
    </row>
    <row r="904" spans="17:17" ht="15.75" customHeight="1" x14ac:dyDescent="0.25">
      <c r="Q904" s="1"/>
    </row>
    <row r="905" spans="17:17" ht="15.75" customHeight="1" x14ac:dyDescent="0.25">
      <c r="Q905" s="1"/>
    </row>
    <row r="906" spans="17:17" ht="15.75" customHeight="1" x14ac:dyDescent="0.25">
      <c r="Q906" s="1"/>
    </row>
    <row r="907" spans="17:17" ht="15.75" customHeight="1" x14ac:dyDescent="0.25">
      <c r="Q907" s="1"/>
    </row>
    <row r="908" spans="17:17" ht="15.75" customHeight="1" x14ac:dyDescent="0.25">
      <c r="Q908" s="1"/>
    </row>
    <row r="909" spans="17:17" ht="15.75" customHeight="1" x14ac:dyDescent="0.25">
      <c r="Q909" s="1"/>
    </row>
    <row r="910" spans="17:17" ht="15.75" customHeight="1" x14ac:dyDescent="0.25">
      <c r="Q910" s="1"/>
    </row>
    <row r="911" spans="17:17" ht="15.75" customHeight="1" x14ac:dyDescent="0.25">
      <c r="Q911" s="1"/>
    </row>
    <row r="912" spans="17:17" ht="15.75" customHeight="1" x14ac:dyDescent="0.25">
      <c r="Q912" s="1"/>
    </row>
    <row r="913" spans="17:17" ht="15.75" customHeight="1" x14ac:dyDescent="0.25">
      <c r="Q913" s="1"/>
    </row>
    <row r="914" spans="17:17" ht="15.75" customHeight="1" x14ac:dyDescent="0.25">
      <c r="Q914" s="1"/>
    </row>
    <row r="915" spans="17:17" ht="15.75" customHeight="1" x14ac:dyDescent="0.25">
      <c r="Q915" s="1"/>
    </row>
    <row r="916" spans="17:17" ht="15.75" customHeight="1" x14ac:dyDescent="0.25">
      <c r="Q916" s="1"/>
    </row>
    <row r="917" spans="17:17" ht="15.75" customHeight="1" x14ac:dyDescent="0.25">
      <c r="Q917" s="1"/>
    </row>
    <row r="918" spans="17:17" ht="15.75" customHeight="1" x14ac:dyDescent="0.25">
      <c r="Q918" s="1"/>
    </row>
    <row r="919" spans="17:17" ht="15.75" customHeight="1" x14ac:dyDescent="0.25">
      <c r="Q919" s="1"/>
    </row>
    <row r="920" spans="17:17" ht="15.75" customHeight="1" x14ac:dyDescent="0.25">
      <c r="Q920" s="1"/>
    </row>
    <row r="921" spans="17:17" ht="15.75" customHeight="1" x14ac:dyDescent="0.25">
      <c r="Q921" s="1"/>
    </row>
    <row r="922" spans="17:17" ht="15.75" customHeight="1" x14ac:dyDescent="0.25">
      <c r="Q922" s="1"/>
    </row>
    <row r="923" spans="17:17" ht="15.75" customHeight="1" x14ac:dyDescent="0.25">
      <c r="Q923" s="1"/>
    </row>
    <row r="924" spans="17:17" ht="15.75" customHeight="1" x14ac:dyDescent="0.25">
      <c r="Q924" s="1"/>
    </row>
    <row r="925" spans="17:17" ht="15.75" customHeight="1" x14ac:dyDescent="0.25">
      <c r="Q925" s="1"/>
    </row>
    <row r="926" spans="17:17" ht="15.75" customHeight="1" x14ac:dyDescent="0.25">
      <c r="Q926" s="1"/>
    </row>
    <row r="927" spans="17:17" ht="15.75" customHeight="1" x14ac:dyDescent="0.25">
      <c r="Q927" s="1"/>
    </row>
    <row r="928" spans="17:17" ht="15.75" customHeight="1" x14ac:dyDescent="0.25">
      <c r="Q928" s="1"/>
    </row>
    <row r="929" spans="17:17" ht="15.75" customHeight="1" x14ac:dyDescent="0.25">
      <c r="Q929" s="1"/>
    </row>
    <row r="930" spans="17:17" ht="15.75" customHeight="1" x14ac:dyDescent="0.25">
      <c r="Q930" s="1"/>
    </row>
    <row r="931" spans="17:17" ht="15.75" customHeight="1" x14ac:dyDescent="0.25">
      <c r="Q931" s="1"/>
    </row>
    <row r="932" spans="17:17" ht="15.75" customHeight="1" x14ac:dyDescent="0.25">
      <c r="Q932" s="1"/>
    </row>
    <row r="933" spans="17:17" ht="15.75" customHeight="1" x14ac:dyDescent="0.25">
      <c r="Q933" s="1"/>
    </row>
    <row r="934" spans="17:17" ht="15.75" customHeight="1" x14ac:dyDescent="0.25">
      <c r="Q934" s="1"/>
    </row>
    <row r="935" spans="17:17" ht="15.75" customHeight="1" x14ac:dyDescent="0.25">
      <c r="Q935" s="1"/>
    </row>
    <row r="936" spans="17:17" ht="15.75" customHeight="1" x14ac:dyDescent="0.25">
      <c r="Q936" s="1"/>
    </row>
    <row r="937" spans="17:17" ht="15.75" customHeight="1" x14ac:dyDescent="0.25">
      <c r="Q937" s="1"/>
    </row>
    <row r="938" spans="17:17" ht="15.75" customHeight="1" x14ac:dyDescent="0.25">
      <c r="Q938" s="1"/>
    </row>
    <row r="939" spans="17:17" ht="15.75" customHeight="1" x14ac:dyDescent="0.25">
      <c r="Q939" s="1"/>
    </row>
    <row r="940" spans="17:17" ht="15.75" customHeight="1" x14ac:dyDescent="0.25">
      <c r="Q940" s="1"/>
    </row>
    <row r="941" spans="17:17" ht="15.75" customHeight="1" x14ac:dyDescent="0.25">
      <c r="Q941" s="1"/>
    </row>
    <row r="942" spans="17:17" ht="15.75" customHeight="1" x14ac:dyDescent="0.25">
      <c r="Q942" s="1"/>
    </row>
    <row r="943" spans="17:17" ht="15.75" customHeight="1" x14ac:dyDescent="0.25">
      <c r="Q943" s="1"/>
    </row>
    <row r="944" spans="17:17" ht="15.75" customHeight="1" x14ac:dyDescent="0.25">
      <c r="Q944" s="1"/>
    </row>
    <row r="945" spans="17:17" ht="15.75" customHeight="1" x14ac:dyDescent="0.25">
      <c r="Q945" s="1"/>
    </row>
    <row r="946" spans="17:17" ht="15.75" customHeight="1" x14ac:dyDescent="0.25">
      <c r="Q946" s="1"/>
    </row>
    <row r="947" spans="17:17" ht="15.75" customHeight="1" x14ac:dyDescent="0.25">
      <c r="Q947" s="1"/>
    </row>
    <row r="948" spans="17:17" ht="15.75" customHeight="1" x14ac:dyDescent="0.25">
      <c r="Q948" s="1"/>
    </row>
    <row r="949" spans="17:17" ht="15.75" customHeight="1" x14ac:dyDescent="0.25">
      <c r="Q949" s="1"/>
    </row>
    <row r="950" spans="17:17" ht="15.75" customHeight="1" x14ac:dyDescent="0.25">
      <c r="Q950" s="1"/>
    </row>
    <row r="951" spans="17:17" ht="15.75" customHeight="1" x14ac:dyDescent="0.25">
      <c r="Q951" s="1"/>
    </row>
    <row r="952" spans="17:17" ht="15.75" customHeight="1" x14ac:dyDescent="0.25">
      <c r="Q952" s="1"/>
    </row>
    <row r="953" spans="17:17" ht="15.75" customHeight="1" x14ac:dyDescent="0.25">
      <c r="Q953" s="1"/>
    </row>
    <row r="954" spans="17:17" ht="15.75" customHeight="1" x14ac:dyDescent="0.25">
      <c r="Q954" s="1"/>
    </row>
    <row r="955" spans="17:17" ht="15.75" customHeight="1" x14ac:dyDescent="0.25">
      <c r="Q955" s="1"/>
    </row>
    <row r="956" spans="17:17" ht="15.75" customHeight="1" x14ac:dyDescent="0.25">
      <c r="Q956" s="1"/>
    </row>
    <row r="957" spans="17:17" ht="15.75" customHeight="1" x14ac:dyDescent="0.25">
      <c r="Q957" s="1"/>
    </row>
    <row r="958" spans="17:17" ht="15.75" customHeight="1" x14ac:dyDescent="0.25">
      <c r="Q958" s="1"/>
    </row>
    <row r="959" spans="17:17" ht="15.75" customHeight="1" x14ac:dyDescent="0.25">
      <c r="Q959" s="1"/>
    </row>
    <row r="960" spans="17:17" ht="15.75" customHeight="1" x14ac:dyDescent="0.25">
      <c r="Q960" s="1"/>
    </row>
    <row r="961" spans="17:17" ht="15.75" customHeight="1" x14ac:dyDescent="0.25">
      <c r="Q961" s="1"/>
    </row>
    <row r="962" spans="17:17" ht="15.75" customHeight="1" x14ac:dyDescent="0.25">
      <c r="Q962" s="1"/>
    </row>
    <row r="963" spans="17:17" ht="15.75" customHeight="1" x14ac:dyDescent="0.25">
      <c r="Q963" s="1"/>
    </row>
    <row r="964" spans="17:17" ht="15.75" customHeight="1" x14ac:dyDescent="0.25">
      <c r="Q964" s="1"/>
    </row>
    <row r="965" spans="17:17" ht="15.75" customHeight="1" x14ac:dyDescent="0.25">
      <c r="Q965" s="1"/>
    </row>
    <row r="966" spans="17:17" ht="15.75" customHeight="1" x14ac:dyDescent="0.25">
      <c r="Q966" s="1"/>
    </row>
    <row r="967" spans="17:17" ht="15.75" customHeight="1" x14ac:dyDescent="0.25">
      <c r="Q967" s="1"/>
    </row>
    <row r="968" spans="17:17" ht="15.75" customHeight="1" x14ac:dyDescent="0.25">
      <c r="Q968" s="1"/>
    </row>
    <row r="969" spans="17:17" ht="15.75" customHeight="1" x14ac:dyDescent="0.25">
      <c r="Q969" s="1"/>
    </row>
    <row r="970" spans="17:17" ht="15.75" customHeight="1" x14ac:dyDescent="0.25">
      <c r="Q970" s="1"/>
    </row>
    <row r="971" spans="17:17" ht="15.75" customHeight="1" x14ac:dyDescent="0.25">
      <c r="Q971" s="1"/>
    </row>
    <row r="972" spans="17:17" ht="15.75" customHeight="1" x14ac:dyDescent="0.25">
      <c r="Q972" s="1"/>
    </row>
    <row r="973" spans="17:17" ht="15.75" customHeight="1" x14ac:dyDescent="0.25">
      <c r="Q973" s="1"/>
    </row>
    <row r="974" spans="17:17" ht="15.75" customHeight="1" x14ac:dyDescent="0.25">
      <c r="Q974" s="1"/>
    </row>
    <row r="975" spans="17:17" ht="15.75" customHeight="1" x14ac:dyDescent="0.25">
      <c r="Q975" s="1"/>
    </row>
    <row r="976" spans="17:17" ht="15.75" customHeight="1" x14ac:dyDescent="0.25">
      <c r="Q976" s="1"/>
    </row>
    <row r="977" spans="17:17" ht="15.75" customHeight="1" x14ac:dyDescent="0.25">
      <c r="Q977" s="1"/>
    </row>
    <row r="978" spans="17:17" ht="15.75" customHeight="1" x14ac:dyDescent="0.25">
      <c r="Q978" s="1"/>
    </row>
    <row r="979" spans="17:17" ht="15.75" customHeight="1" x14ac:dyDescent="0.25">
      <c r="Q979" s="1"/>
    </row>
    <row r="980" spans="17:17" ht="15.75" customHeight="1" x14ac:dyDescent="0.25">
      <c r="Q980" s="1"/>
    </row>
    <row r="981" spans="17:17" ht="15.75" customHeight="1" x14ac:dyDescent="0.25">
      <c r="Q981" s="1"/>
    </row>
    <row r="982" spans="17:17" ht="15.75" customHeight="1" x14ac:dyDescent="0.25">
      <c r="Q982" s="1"/>
    </row>
    <row r="983" spans="17:17" ht="15.75" customHeight="1" x14ac:dyDescent="0.25">
      <c r="Q983" s="1"/>
    </row>
    <row r="984" spans="17:17" ht="15.75" customHeight="1" x14ac:dyDescent="0.25">
      <c r="Q984" s="1"/>
    </row>
    <row r="985" spans="17:17" ht="15.75" customHeight="1" x14ac:dyDescent="0.25">
      <c r="Q985" s="1"/>
    </row>
    <row r="986" spans="17:17" ht="15.75" customHeight="1" x14ac:dyDescent="0.25">
      <c r="Q986" s="1"/>
    </row>
    <row r="987" spans="17:17" ht="15.75" customHeight="1" x14ac:dyDescent="0.25">
      <c r="Q987" s="1"/>
    </row>
    <row r="988" spans="17:17" ht="15.75" customHeight="1" x14ac:dyDescent="0.25">
      <c r="Q988" s="1"/>
    </row>
    <row r="989" spans="17:17" ht="15.75" customHeight="1" x14ac:dyDescent="0.25">
      <c r="Q989" s="1"/>
    </row>
    <row r="990" spans="17:17" ht="15.75" customHeight="1" x14ac:dyDescent="0.25">
      <c r="Q990" s="1"/>
    </row>
    <row r="991" spans="17:17" ht="15.75" customHeight="1" x14ac:dyDescent="0.25">
      <c r="Q991" s="1"/>
    </row>
    <row r="992" spans="17:17" ht="15.75" customHeight="1" x14ac:dyDescent="0.25">
      <c r="Q992" s="1"/>
    </row>
    <row r="993" spans="17:17" ht="15.75" customHeight="1" x14ac:dyDescent="0.25">
      <c r="Q993" s="1"/>
    </row>
    <row r="994" spans="17:17" ht="15.75" customHeight="1" x14ac:dyDescent="0.25">
      <c r="Q994" s="1"/>
    </row>
    <row r="995" spans="17:17" ht="15.75" customHeight="1" x14ac:dyDescent="0.25">
      <c r="Q995" s="1"/>
    </row>
    <row r="996" spans="17:17" ht="15.75" customHeight="1" x14ac:dyDescent="0.25">
      <c r="Q996" s="1"/>
    </row>
    <row r="997" spans="17:17" ht="15.75" customHeight="1" x14ac:dyDescent="0.25">
      <c r="Q997" s="1"/>
    </row>
    <row r="998" spans="17:17" ht="15.75" customHeight="1" x14ac:dyDescent="0.25">
      <c r="Q998" s="1"/>
    </row>
    <row r="999" spans="17:17" ht="15.75" customHeight="1" x14ac:dyDescent="0.25">
      <c r="Q999" s="1"/>
    </row>
    <row r="1000" spans="17:17" ht="15.75" customHeight="1" x14ac:dyDescent="0.25">
      <c r="Q1000" s="1"/>
    </row>
  </sheetData>
  <mergeCells count="15">
    <mergeCell ref="B30:I30"/>
    <mergeCell ref="B32:I32"/>
    <mergeCell ref="B33:I33"/>
    <mergeCell ref="C2:D2"/>
    <mergeCell ref="A7:A8"/>
    <mergeCell ref="D7:E8"/>
    <mergeCell ref="B10:B13"/>
    <mergeCell ref="F10:F13"/>
    <mergeCell ref="B15:B18"/>
    <mergeCell ref="F15:F18"/>
    <mergeCell ref="C15:D15"/>
    <mergeCell ref="G15:I15"/>
    <mergeCell ref="B22:I22"/>
    <mergeCell ref="B28:I28"/>
    <mergeCell ref="B29:I29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Z1000"/>
  <sheetViews>
    <sheetView workbookViewId="0">
      <selection activeCell="S9" sqref="S9"/>
    </sheetView>
  </sheetViews>
  <sheetFormatPr defaultColWidth="12.625" defaultRowHeight="15" customHeight="1" x14ac:dyDescent="0.2"/>
  <cols>
    <col min="1" max="1" width="11" customWidth="1"/>
    <col min="2" max="2" width="19.25" customWidth="1"/>
    <col min="3" max="3" width="15.125" customWidth="1"/>
    <col min="4" max="4" width="12.25" customWidth="1"/>
    <col min="5" max="5" width="10" customWidth="1"/>
    <col min="6" max="6" width="12.25" customWidth="1"/>
    <col min="7" max="8" width="10" customWidth="1"/>
    <col min="9" max="9" width="10.5" customWidth="1"/>
    <col min="10" max="26" width="10" customWidth="1"/>
  </cols>
  <sheetData>
    <row r="1" spans="1:26" ht="23.25" x14ac:dyDescent="0.35">
      <c r="A1" s="4"/>
      <c r="B1" s="48" t="s">
        <v>88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9" t="s">
        <v>89</v>
      </c>
      <c r="C3" s="50">
        <f>START!C7</f>
        <v>568262.924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9" t="s">
        <v>90</v>
      </c>
      <c r="C4" s="50">
        <f>START!C8</f>
        <v>1255172.51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9"/>
      <c r="C6" s="51" t="s">
        <v>91</v>
      </c>
      <c r="D6" s="51" t="s">
        <v>92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9" t="s">
        <v>93</v>
      </c>
      <c r="C7" s="4">
        <v>0</v>
      </c>
      <c r="D7" s="4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9" t="s">
        <v>94</v>
      </c>
      <c r="C8" s="4">
        <f>'AJS-Vn2000=&gt;LatLong'!H2</f>
        <v>108.25</v>
      </c>
      <c r="D8" s="4">
        <f>RADIANS(C8)</f>
        <v>1.8893189152838616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9" t="s">
        <v>16</v>
      </c>
      <c r="C10" s="4">
        <f>START!D11</f>
        <v>500000</v>
      </c>
      <c r="D10" s="4"/>
      <c r="E10" s="4"/>
      <c r="F10" s="5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9" t="s">
        <v>18</v>
      </c>
      <c r="C11" s="4">
        <f>START!D12</f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9" t="s">
        <v>20</v>
      </c>
      <c r="C12" s="4">
        <f>START!D13</f>
        <v>0.99990000000000001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9" t="s">
        <v>23</v>
      </c>
      <c r="C14" s="52" t="str">
        <f>START!C15</f>
        <v>WGS84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9" t="s">
        <v>95</v>
      </c>
      <c r="C15" s="50">
        <f>START!D16</f>
        <v>6378137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9" t="s">
        <v>96</v>
      </c>
      <c r="C16" s="53">
        <f>START!D18</f>
        <v>298.25722356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9" t="s">
        <v>97</v>
      </c>
      <c r="C17" s="4">
        <f>2*(1/C16)-(1/C16)^2</f>
        <v>6.6943799902085387E-3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9" t="s">
        <v>98</v>
      </c>
      <c r="C18" s="4">
        <f>C17/(1-(1/C16))^2</f>
        <v>6.7394967423445662E-3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160" t="s">
        <v>99</v>
      </c>
      <c r="C20" s="14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9" t="s">
        <v>100</v>
      </c>
      <c r="C21" s="4">
        <f>(1-(1-C17)^0.5)/(1+(1-C17)^0.5)</f>
        <v>1.6792203864006278E-3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9" t="s">
        <v>101</v>
      </c>
      <c r="C22" s="4">
        <f>C15*((1-I25-I26-I27)*D7-(I28+I29+I30)*SIN(2*D7)+(I31+I32)*SIN(4*D7)-I33*SIN(6*D7))</f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9" t="s">
        <v>102</v>
      </c>
      <c r="C23" s="4">
        <f>C22+(C4-C11)/C12</f>
        <v>1255298.0398039804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9" t="s">
        <v>103</v>
      </c>
      <c r="C24" s="4">
        <f>C23/(C15*(1-(C17/4)-3*((C17)^2/64)-5*((C17)^3/256)))</f>
        <v>0.19714300201365539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9" t="s">
        <v>104</v>
      </c>
      <c r="C25" s="4">
        <f>C24+((3*C21/2)-27*(C21^3)/32)*SIN(2*C24)+(21*(C21^2)/16-55*(C21^4)/32)*SIN(4*C24)+(151*(C21^3)/96)*SIN(6*C24)+(1097*(C21^4)/512)*SIN(8*C24)</f>
        <v>0.19811323908623377</v>
      </c>
      <c r="D25" s="4"/>
      <c r="E25" s="4"/>
      <c r="F25" s="4"/>
      <c r="G25" s="4"/>
      <c r="H25" s="54" t="s">
        <v>105</v>
      </c>
      <c r="I25" s="55">
        <f>C17/4</f>
        <v>1.6735949975521347E-3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9" t="s">
        <v>106</v>
      </c>
      <c r="C26" s="4">
        <f>TAN(C25)^2</f>
        <v>4.0299154725847809E-2</v>
      </c>
      <c r="D26" s="4"/>
      <c r="E26" s="4"/>
      <c r="F26" s="4"/>
      <c r="G26" s="4"/>
      <c r="H26" s="56" t="s">
        <v>107</v>
      </c>
      <c r="I26" s="57">
        <f>3*(C17^2)/64</f>
        <v>2.100690161873647E-6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9" t="s">
        <v>108</v>
      </c>
      <c r="C27" s="4">
        <f>C15/(1-C17*(SIN(C25))^2)^0.5</f>
        <v>6378964.1730529396</v>
      </c>
      <c r="D27" s="4"/>
      <c r="E27" s="4"/>
      <c r="F27" s="4"/>
      <c r="G27" s="4"/>
      <c r="H27" s="58" t="s">
        <v>109</v>
      </c>
      <c r="I27" s="59">
        <f>5*(C17^3)/256</f>
        <v>5.8595075771978667E-9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9" t="s">
        <v>110</v>
      </c>
      <c r="C28" s="4">
        <f>C15*(1-C17)/(1-C17*(SIN(C25))^2)^1.5</f>
        <v>6337904.5539036943</v>
      </c>
      <c r="D28" s="4"/>
      <c r="E28" s="4"/>
      <c r="F28" s="4"/>
      <c r="G28" s="4"/>
      <c r="H28" s="54" t="s">
        <v>111</v>
      </c>
      <c r="I28" s="55">
        <f>3*C17/8</f>
        <v>2.5103924963282018E-3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9" t="s">
        <v>112</v>
      </c>
      <c r="C29" s="4">
        <f>C18*(COS(C25))^2</f>
        <v>6.4784218190782243E-3</v>
      </c>
      <c r="D29" s="4"/>
      <c r="E29" s="4"/>
      <c r="F29" s="4"/>
      <c r="G29" s="4"/>
      <c r="H29" s="56" t="s">
        <v>113</v>
      </c>
      <c r="I29" s="57">
        <f>3*(C17^2)/32</f>
        <v>4.201380323747294E-6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9" t="s">
        <v>114</v>
      </c>
      <c r="C30" s="4">
        <f>(C3-C10)/(C12*C27)</f>
        <v>1.0702325506622801E-2</v>
      </c>
      <c r="D30" s="4"/>
      <c r="E30" s="4"/>
      <c r="F30" s="4"/>
      <c r="G30" s="4"/>
      <c r="H30" s="58" t="s">
        <v>115</v>
      </c>
      <c r="I30" s="59">
        <f>45*(C17^3)/1024</f>
        <v>1.3183892048695201E-8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54" t="s">
        <v>116</v>
      </c>
      <c r="I31" s="55">
        <f>15*(C17^2)/256</f>
        <v>2.6258627023420592E-6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60" t="s">
        <v>92</v>
      </c>
      <c r="D32" s="60" t="s">
        <v>91</v>
      </c>
      <c r="E32" s="4"/>
      <c r="F32" s="4"/>
      <c r="G32" s="4"/>
      <c r="H32" s="58" t="s">
        <v>115</v>
      </c>
      <c r="I32" s="59">
        <f>45*(C17^3)/1024</f>
        <v>1.3183892048695201E-8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61" t="s">
        <v>117</v>
      </c>
      <c r="C33" s="62">
        <f>C25-(C27*(TAN(C25))/C28)*((C30^2)/2-(5+3*C26+10*C29-4*(C29^2)-9*C18)*(C30^4)/24+(61+90*C26+298*C29+45*(C26^2)-252*C18-3*C29^2)*(C30^6)/720)</f>
        <v>0.19810166844284041</v>
      </c>
      <c r="D33" s="62">
        <f t="shared" ref="D33:D34" si="0">DEGREES(C33)</f>
        <v>11.350389516274722</v>
      </c>
      <c r="E33" s="110" t="str">
        <f>TEXT(MOD(D33,360)/24,"[h]\°mm'ss\""")</f>
        <v>11°21'01"</v>
      </c>
      <c r="F33" s="4"/>
      <c r="G33" s="4"/>
      <c r="H33" s="58" t="s">
        <v>118</v>
      </c>
      <c r="I33" s="59">
        <f>35*(C17^3)/3072</f>
        <v>3.418046086698756E-9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61" t="s">
        <v>119</v>
      </c>
      <c r="C34" s="62">
        <f>D8+(C30-(1+2*C26+C29)*(C30^3)/6+(5-2*C29+28*C26-3*(C29^2)+8*C18+24*C26^2)*(C30^5)/120)/COS(C25)</f>
        <v>1.9002345317085578</v>
      </c>
      <c r="D34" s="62">
        <f t="shared" si="0"/>
        <v>108.87541875191877</v>
      </c>
      <c r="E34" s="110" t="str">
        <f>TEXT(MOD(D34,360)/24,"[h]\°mm'ss\""")</f>
        <v>108°52'32"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6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6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0:C2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Z1000"/>
  <sheetViews>
    <sheetView workbookViewId="0">
      <selection activeCell="D4" sqref="D4"/>
    </sheetView>
  </sheetViews>
  <sheetFormatPr defaultColWidth="12.625" defaultRowHeight="15" customHeight="1" x14ac:dyDescent="0.2"/>
  <cols>
    <col min="1" max="1" width="15.125" customWidth="1"/>
    <col min="2" max="2" width="19.25" customWidth="1"/>
    <col min="3" max="3" width="15.125" customWidth="1"/>
    <col min="4" max="4" width="12.125" customWidth="1"/>
    <col min="5" max="26" width="10" customWidth="1"/>
  </cols>
  <sheetData>
    <row r="1" spans="1:26" ht="23.25" x14ac:dyDescent="0.35">
      <c r="A1" s="4"/>
      <c r="B1" s="48" t="s">
        <v>120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9"/>
      <c r="C3" s="51" t="s">
        <v>91</v>
      </c>
      <c r="D3" s="51" t="s">
        <v>92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9" t="s">
        <v>121</v>
      </c>
      <c r="C4" s="4">
        <f>XY_GEO!D33</f>
        <v>11.350389516274722</v>
      </c>
      <c r="D4" s="4">
        <f t="shared" ref="D4:D5" si="0">RADIANS(C4)</f>
        <v>0.19810166844284041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9" t="s">
        <v>122</v>
      </c>
      <c r="C5" s="4">
        <f>XY_GEO!D34</f>
        <v>108.87541875191877</v>
      </c>
      <c r="D5" s="4">
        <f t="shared" si="0"/>
        <v>1.9002345317085578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9" t="s">
        <v>23</v>
      </c>
      <c r="C8" s="52" t="str">
        <f>START!C15</f>
        <v>WGS84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9" t="s">
        <v>95</v>
      </c>
      <c r="C9" s="50">
        <f>START!D16</f>
        <v>6378137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9" t="s">
        <v>96</v>
      </c>
      <c r="C10" s="53">
        <f>START!D18</f>
        <v>298.25722356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9" t="s">
        <v>123</v>
      </c>
      <c r="C11" s="4">
        <f>2*(1/C10)-(1/C10)^2</f>
        <v>6.6943799902085387E-3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9" t="s">
        <v>98</v>
      </c>
      <c r="C12" s="4">
        <f>C11/(1-(1/C10))^2</f>
        <v>6.7394967423445662E-3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9" t="s">
        <v>124</v>
      </c>
      <c r="C14" s="4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160" t="s">
        <v>99</v>
      </c>
      <c r="C16" s="14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9" t="s">
        <v>125</v>
      </c>
      <c r="C17" s="4">
        <f>C9/(1-C11*(SIN(D4))*(SIN(D4)))^0.5</f>
        <v>6378964.0776836881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61" t="s">
        <v>89</v>
      </c>
      <c r="C18" s="62">
        <f>(C17+C14)*(COS(D4))*(COS(D5))</f>
        <v>-2023306.8855931894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61" t="s">
        <v>90</v>
      </c>
      <c r="C19" s="62">
        <f>(C17+C14)*(COS(D4))*(SIN(D5))</f>
        <v>5917879.4190062229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61" t="s">
        <v>126</v>
      </c>
      <c r="C20" s="62">
        <f>((1-C11)*C17+C14)*SIN(D4)</f>
        <v>1247029.8870262373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6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6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6:C1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H1000"/>
  <sheetViews>
    <sheetView workbookViewId="0"/>
  </sheetViews>
  <sheetFormatPr defaultColWidth="12.625" defaultRowHeight="15" customHeight="1" x14ac:dyDescent="0.2"/>
  <cols>
    <col min="1" max="1" width="10" customWidth="1"/>
    <col min="2" max="2" width="12.125" customWidth="1"/>
    <col min="3" max="26" width="10" customWidth="1"/>
  </cols>
  <sheetData>
    <row r="1" spans="1:8" ht="23.25" x14ac:dyDescent="0.35">
      <c r="A1" s="48" t="s">
        <v>127</v>
      </c>
      <c r="B1" s="48"/>
      <c r="C1" s="64"/>
      <c r="D1" s="64"/>
      <c r="E1" s="64"/>
      <c r="F1" s="64"/>
      <c r="G1" s="64"/>
      <c r="H1" s="64"/>
    </row>
    <row r="4" spans="1:8" ht="14.25" x14ac:dyDescent="0.2">
      <c r="A4" s="64"/>
      <c r="B4" s="161" t="s">
        <v>128</v>
      </c>
      <c r="C4" s="162"/>
      <c r="D4" s="64"/>
      <c r="E4" s="64"/>
      <c r="F4" s="64"/>
      <c r="G4" s="64"/>
      <c r="H4" s="64"/>
    </row>
    <row r="5" spans="1:8" ht="14.25" x14ac:dyDescent="0.2">
      <c r="A5" s="64"/>
      <c r="B5" s="163"/>
      <c r="C5" s="164"/>
      <c r="D5" s="64"/>
      <c r="E5" s="64"/>
      <c r="F5" s="64"/>
      <c r="G5" s="64"/>
      <c r="H5" s="64"/>
    </row>
    <row r="6" spans="1:8" ht="14.25" x14ac:dyDescent="0.2">
      <c r="A6" s="64"/>
      <c r="B6" s="65" t="s">
        <v>129</v>
      </c>
      <c r="C6" s="66">
        <f>GEO_GEOCENTRIC!C18</f>
        <v>-2023306.8855931894</v>
      </c>
      <c r="D6" s="64"/>
      <c r="E6" s="64"/>
      <c r="F6" s="64"/>
      <c r="G6" s="64"/>
      <c r="H6" s="64"/>
    </row>
    <row r="7" spans="1:8" ht="14.25" x14ac:dyDescent="0.2">
      <c r="A7" s="64"/>
      <c r="B7" s="65" t="s">
        <v>130</v>
      </c>
      <c r="C7" s="66">
        <f>GEO_GEOCENTRIC!C19</f>
        <v>5917879.4190062229</v>
      </c>
      <c r="D7" s="64"/>
      <c r="E7" s="64"/>
      <c r="F7" s="64"/>
      <c r="G7" s="64"/>
      <c r="H7" s="64"/>
    </row>
    <row r="8" spans="1:8" ht="14.25" x14ac:dyDescent="0.2">
      <c r="A8" s="64"/>
      <c r="B8" s="65" t="s">
        <v>131</v>
      </c>
      <c r="C8" s="66">
        <f>GEO_GEOCENTRIC!C20</f>
        <v>1247029.8870262373</v>
      </c>
      <c r="D8" s="64"/>
      <c r="E8" s="64"/>
      <c r="F8" s="64"/>
      <c r="G8" s="64"/>
      <c r="H8" s="64"/>
    </row>
    <row r="9" spans="1:8" ht="14.25" x14ac:dyDescent="0.2">
      <c r="A9" s="64"/>
      <c r="B9" s="17"/>
      <c r="C9" s="67"/>
      <c r="D9" s="64"/>
      <c r="E9" s="64"/>
      <c r="F9" s="64"/>
      <c r="G9" s="64"/>
      <c r="H9" s="64"/>
    </row>
    <row r="10" spans="1:8" ht="14.25" x14ac:dyDescent="0.2">
      <c r="A10" s="64"/>
      <c r="B10" s="17"/>
      <c r="C10" s="67"/>
      <c r="D10" s="64"/>
      <c r="E10" s="64"/>
      <c r="F10" s="64"/>
      <c r="G10" s="64"/>
      <c r="H10" s="64"/>
    </row>
    <row r="11" spans="1:8" ht="14.25" x14ac:dyDescent="0.2">
      <c r="A11" s="64"/>
      <c r="B11" s="165" t="s">
        <v>35</v>
      </c>
      <c r="C11" s="166"/>
      <c r="D11" s="166"/>
      <c r="E11" s="166"/>
      <c r="F11" s="166"/>
      <c r="G11" s="166"/>
      <c r="H11" s="167"/>
    </row>
    <row r="12" spans="1:8" ht="14.25" x14ac:dyDescent="0.2">
      <c r="A12" s="64"/>
      <c r="B12" s="68" t="s">
        <v>37</v>
      </c>
      <c r="C12" s="68" t="s">
        <v>38</v>
      </c>
      <c r="D12" s="68" t="s">
        <v>39</v>
      </c>
      <c r="E12" s="68" t="s">
        <v>40</v>
      </c>
      <c r="F12" s="68" t="s">
        <v>41</v>
      </c>
      <c r="G12" s="68" t="s">
        <v>42</v>
      </c>
      <c r="H12" s="68" t="s">
        <v>43</v>
      </c>
    </row>
    <row r="13" spans="1:8" ht="14.25" x14ac:dyDescent="0.2">
      <c r="A13" s="64"/>
      <c r="B13" s="69">
        <f>START!B24</f>
        <v>-191.90441429000001</v>
      </c>
      <c r="C13" s="69">
        <f>START!C24</f>
        <v>-39.303182790000001</v>
      </c>
      <c r="D13" s="69">
        <f>START!D24</f>
        <v>-111.4503283</v>
      </c>
      <c r="E13" s="69">
        <f>START!E24</f>
        <v>-9.2883600000000007E-3</v>
      </c>
      <c r="F13" s="69">
        <f>START!F24</f>
        <v>1.9754790000000001E-2</v>
      </c>
      <c r="G13" s="69">
        <f>START!G24</f>
        <v>-4.2737199999999999E-3</v>
      </c>
      <c r="H13" s="69">
        <f>START!I24/1000000</f>
        <v>2.5290627699999999E-13</v>
      </c>
    </row>
    <row r="16" spans="1:8" ht="14.25" x14ac:dyDescent="0.2">
      <c r="A16" s="64"/>
      <c r="B16" s="161" t="s">
        <v>132</v>
      </c>
      <c r="C16" s="162"/>
      <c r="D16" s="64"/>
      <c r="E16" s="64"/>
      <c r="F16" s="64"/>
      <c r="G16" s="64"/>
      <c r="H16" s="64"/>
    </row>
    <row r="17" spans="2:3" ht="14.25" x14ac:dyDescent="0.2">
      <c r="B17" s="163"/>
      <c r="C17" s="164"/>
    </row>
    <row r="18" spans="2:3" ht="14.25" x14ac:dyDescent="0.2">
      <c r="B18" s="70" t="s">
        <v>129</v>
      </c>
      <c r="C18" s="71">
        <f>+B13+((1+H13)*(C6+(C7*RADIANS(G13/60/60))-(C8*RADIANS(F13/60/60))))</f>
        <v>-2023499.0320569093</v>
      </c>
    </row>
    <row r="19" spans="2:3" ht="14.25" x14ac:dyDescent="0.2">
      <c r="B19" s="70" t="s">
        <v>130</v>
      </c>
      <c r="C19" s="71">
        <f>+C13+((1+H13)*(-(RADIANS(G13/60/60)*C6)+C7+(C8*RADIANS(E13/60/60))))</f>
        <v>5917840.0177475596</v>
      </c>
    </row>
    <row r="20" spans="2:3" ht="14.25" x14ac:dyDescent="0.2">
      <c r="B20" s="70" t="s">
        <v>131</v>
      </c>
      <c r="C20" s="71">
        <f>+D13+((1+H13)*((C6*RADIANS(F13/60/60))-(C7*RADIANS(E13/60/60))+C8))</f>
        <v>1246918.5094076602</v>
      </c>
    </row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4:C5"/>
    <mergeCell ref="B11:H11"/>
    <mergeCell ref="B16:C1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Z1000"/>
  <sheetViews>
    <sheetView workbookViewId="0">
      <selection activeCell="D23" sqref="D23"/>
    </sheetView>
  </sheetViews>
  <sheetFormatPr defaultColWidth="12.625" defaultRowHeight="15" customHeight="1" x14ac:dyDescent="0.2"/>
  <cols>
    <col min="1" max="1" width="15.125" customWidth="1"/>
    <col min="2" max="2" width="19.25" customWidth="1"/>
    <col min="3" max="3" width="15.875" customWidth="1"/>
    <col min="4" max="4" width="12.625" customWidth="1"/>
    <col min="5" max="5" width="13.125" customWidth="1"/>
    <col min="6" max="6" width="15.125" customWidth="1"/>
    <col min="7" max="26" width="10" customWidth="1"/>
  </cols>
  <sheetData>
    <row r="1" spans="1:26" ht="23.25" x14ac:dyDescent="0.35">
      <c r="B1" s="48" t="s">
        <v>133</v>
      </c>
      <c r="C1" s="4"/>
      <c r="D1" s="4"/>
    </row>
    <row r="2" spans="1:26" x14ac:dyDescent="0.25">
      <c r="B2" s="49"/>
      <c r="C2" s="4"/>
      <c r="D2" s="4"/>
    </row>
    <row r="3" spans="1:26" ht="27" customHeight="1" x14ac:dyDescent="0.2">
      <c r="A3" s="72"/>
      <c r="B3" s="73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x14ac:dyDescent="0.25">
      <c r="B4" s="49" t="s">
        <v>89</v>
      </c>
      <c r="C4" s="74">
        <f>'TRANS 7 PARAMETERS'!C18</f>
        <v>-2023499.0320569093</v>
      </c>
      <c r="D4" s="14"/>
      <c r="E4" s="14"/>
    </row>
    <row r="5" spans="1:26" x14ac:dyDescent="0.25">
      <c r="B5" s="49" t="s">
        <v>90</v>
      </c>
      <c r="C5" s="74">
        <f>'TRANS 7 PARAMETERS'!C19</f>
        <v>5917840.0177475596</v>
      </c>
      <c r="D5" s="14"/>
      <c r="E5" s="14"/>
    </row>
    <row r="6" spans="1:26" x14ac:dyDescent="0.25">
      <c r="B6" s="49" t="s">
        <v>126</v>
      </c>
      <c r="C6" s="74">
        <f>'TRANS 7 PARAMETERS'!C20</f>
        <v>1246918.5094076602</v>
      </c>
      <c r="D6" s="14"/>
      <c r="E6" s="14"/>
    </row>
    <row r="7" spans="1:26" x14ac:dyDescent="0.25">
      <c r="B7" s="4"/>
      <c r="C7" s="4"/>
      <c r="D7" s="4"/>
    </row>
    <row r="8" spans="1:26" x14ac:dyDescent="0.25">
      <c r="B8" s="49" t="s">
        <v>23</v>
      </c>
      <c r="C8" s="52" t="str">
        <f>START!G15</f>
        <v>WGS84</v>
      </c>
      <c r="D8" s="4"/>
    </row>
    <row r="9" spans="1:26" x14ac:dyDescent="0.25">
      <c r="B9" s="49" t="s">
        <v>95</v>
      </c>
      <c r="C9" s="50">
        <f>START!I16</f>
        <v>6378137</v>
      </c>
      <c r="D9" s="4"/>
    </row>
    <row r="10" spans="1:26" x14ac:dyDescent="0.25">
      <c r="B10" s="49" t="s">
        <v>134</v>
      </c>
      <c r="C10" s="50">
        <f>START!I17</f>
        <v>6356752.3142449642</v>
      </c>
      <c r="D10" s="4"/>
    </row>
    <row r="11" spans="1:26" x14ac:dyDescent="0.25">
      <c r="B11" s="49" t="s">
        <v>96</v>
      </c>
      <c r="C11" s="53">
        <f>START!I18</f>
        <v>298.25722356</v>
      </c>
      <c r="D11" s="4"/>
    </row>
    <row r="12" spans="1:26" x14ac:dyDescent="0.25">
      <c r="B12" s="49" t="s">
        <v>135</v>
      </c>
      <c r="C12" s="4">
        <f>2*(1/C11)-(1/C11)^2</f>
        <v>6.6943799902085387E-3</v>
      </c>
      <c r="D12" s="4"/>
    </row>
    <row r="13" spans="1:26" x14ac:dyDescent="0.25">
      <c r="B13" s="49" t="s">
        <v>98</v>
      </c>
      <c r="C13" s="4">
        <f>C12/(1-(1/C11))^2</f>
        <v>6.7394967423445662E-3</v>
      </c>
      <c r="D13" s="4"/>
    </row>
    <row r="14" spans="1:26" x14ac:dyDescent="0.25">
      <c r="B14" s="49"/>
      <c r="C14" s="4"/>
      <c r="D14" s="4"/>
    </row>
    <row r="15" spans="1:26" x14ac:dyDescent="0.25">
      <c r="B15" s="49" t="s">
        <v>124</v>
      </c>
      <c r="C15" s="4">
        <f>GEO_GEOCENTRIC!C14</f>
        <v>0</v>
      </c>
      <c r="D15" s="4"/>
    </row>
    <row r="16" spans="1:26" x14ac:dyDescent="0.25">
      <c r="B16" s="4"/>
      <c r="C16" s="4"/>
      <c r="D16" s="4"/>
    </row>
    <row r="17" spans="1:26" x14ac:dyDescent="0.25">
      <c r="B17" s="160" t="s">
        <v>99</v>
      </c>
      <c r="C17" s="140"/>
      <c r="D17" s="4"/>
    </row>
    <row r="18" spans="1:26" x14ac:dyDescent="0.25">
      <c r="B18" s="49" t="s">
        <v>125</v>
      </c>
      <c r="C18" s="4">
        <f>GEO_GEOCENTRIC!C17</f>
        <v>6378964.0776836881</v>
      </c>
      <c r="D18" s="4"/>
    </row>
    <row r="19" spans="1:26" x14ac:dyDescent="0.25">
      <c r="B19" s="49" t="s">
        <v>136</v>
      </c>
      <c r="C19" s="4">
        <f>((C4^2)+(C5^2))^0.5</f>
        <v>6254228.87400115</v>
      </c>
      <c r="D19" s="4"/>
    </row>
    <row r="20" spans="1:26" x14ac:dyDescent="0.25">
      <c r="B20" s="49" t="s">
        <v>137</v>
      </c>
      <c r="C20" s="4">
        <f>ATAN((C6*C9)/(C19*C10))</f>
        <v>0.19743668252892246</v>
      </c>
      <c r="D20" s="4"/>
    </row>
    <row r="21" spans="1:26" ht="15.75" customHeight="1" x14ac:dyDescent="0.25">
      <c r="B21" s="4"/>
      <c r="C21" s="4"/>
      <c r="D21" s="4"/>
    </row>
    <row r="22" spans="1:26" ht="15.75" customHeight="1" x14ac:dyDescent="0.25">
      <c r="B22" s="49"/>
      <c r="C22" s="60" t="s">
        <v>92</v>
      </c>
      <c r="D22" s="60" t="s">
        <v>91</v>
      </c>
    </row>
    <row r="23" spans="1:26" ht="15.75" customHeight="1" x14ac:dyDescent="0.25">
      <c r="A23" s="4"/>
      <c r="B23" s="61" t="s">
        <v>121</v>
      </c>
      <c r="C23" s="62">
        <f>ATAN((C6+C13*C10*(SIN(C20)^3))/(C19-C12*C9*(COS(C20))^3))</f>
        <v>0.19808366623416454</v>
      </c>
      <c r="D23" s="62">
        <f>DEGREES(C23)</f>
        <v>11.349358065695681</v>
      </c>
      <c r="E23" s="75"/>
      <c r="F23" s="7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61" t="s">
        <v>122</v>
      </c>
      <c r="C24" s="62">
        <f>(ATAN(C5/C4))</f>
        <v>-1.2413270132656629</v>
      </c>
      <c r="D24" s="62">
        <f>D29</f>
        <v>108.87720114429756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B25" s="61" t="s">
        <v>124</v>
      </c>
      <c r="C25" s="62">
        <f>(C19/(COS(C23)))-C18</f>
        <v>2.3281398937106133</v>
      </c>
      <c r="D25" s="62">
        <f>IF(C25&gt;0,DEGREES(C25),-(180-DEGREES(C25)))</f>
        <v>133.39259002565421</v>
      </c>
    </row>
    <row r="26" spans="1:26" ht="15.75" customHeight="1" x14ac:dyDescent="0.2"/>
    <row r="27" spans="1:26" ht="15.75" hidden="1" customHeight="1" x14ac:dyDescent="0.25">
      <c r="C27" s="3" t="str">
        <f>IF(START!D10&gt;=0,"","OESTE")</f>
        <v/>
      </c>
      <c r="D27" s="3">
        <f>IF(C24&gt;=0,-(180-DEGREES(C24)),DEGREES(C24))</f>
        <v>-71.122798855702442</v>
      </c>
    </row>
    <row r="28" spans="1:26" ht="15.75" hidden="1" customHeight="1" x14ac:dyDescent="0.25">
      <c r="C28" s="3" t="str">
        <f>IF(START!D10&gt;=0,"ESTE","")</f>
        <v>ESTE</v>
      </c>
      <c r="D28" s="3">
        <f>IF(C24&gt;=0,DEGREES(C24),(180+DEGREES(C24)))</f>
        <v>108.87720114429756</v>
      </c>
    </row>
    <row r="29" spans="1:26" ht="15.75" hidden="1" customHeight="1" x14ac:dyDescent="0.25">
      <c r="C29" s="3" t="str">
        <f>IF(C27&lt;&gt;"",C27,C28)</f>
        <v>ESTE</v>
      </c>
      <c r="D29" s="3">
        <f>IF(C27&lt;&gt;"",D27,D28)</f>
        <v>108.87720114429756</v>
      </c>
    </row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7:C17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Z1000"/>
  <sheetViews>
    <sheetView workbookViewId="0"/>
  </sheetViews>
  <sheetFormatPr defaultColWidth="12.625" defaultRowHeight="15" customHeight="1" x14ac:dyDescent="0.2"/>
  <cols>
    <col min="1" max="1" width="15.125" customWidth="1"/>
    <col min="2" max="2" width="29.875" customWidth="1"/>
    <col min="3" max="3" width="12.625" customWidth="1"/>
    <col min="4" max="5" width="10.375" customWidth="1"/>
    <col min="6" max="6" width="12.25" customWidth="1"/>
    <col min="7" max="8" width="10" customWidth="1"/>
    <col min="9" max="9" width="10.5" customWidth="1"/>
    <col min="10" max="26" width="10" customWidth="1"/>
  </cols>
  <sheetData>
    <row r="1" spans="1:26" ht="23.25" x14ac:dyDescent="0.35">
      <c r="A1" s="4"/>
      <c r="B1" s="48" t="s">
        <v>138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/>
      <c r="B3" s="4"/>
      <c r="C3" s="60" t="s">
        <v>91</v>
      </c>
      <c r="D3" s="60" t="s">
        <v>92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9" t="s">
        <v>121</v>
      </c>
      <c r="C4" s="4">
        <f>GEOCENTRIC_GEO!D23</f>
        <v>11.349358065695681</v>
      </c>
      <c r="D4" s="4">
        <f t="shared" ref="D4:D7" si="0">RADIANS(C4)</f>
        <v>0.19808366623416454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9" t="s">
        <v>122</v>
      </c>
      <c r="C5" s="4">
        <f>GEOCENTRIC_GEO!D24</f>
        <v>108.87720114429756</v>
      </c>
      <c r="D5" s="4">
        <f t="shared" si="0"/>
        <v>1.9002656403241303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9" t="s">
        <v>139</v>
      </c>
      <c r="C6" s="4">
        <v>0</v>
      </c>
      <c r="D6" s="4">
        <f t="shared" si="0"/>
        <v>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9" t="s">
        <v>140</v>
      </c>
      <c r="C7" s="4">
        <f>START!I10</f>
        <v>105</v>
      </c>
      <c r="D7" s="4">
        <f t="shared" si="0"/>
        <v>1.8325957145940461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9" t="s">
        <v>16</v>
      </c>
      <c r="C9" s="4">
        <f>START!I11</f>
        <v>500000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9" t="s">
        <v>18</v>
      </c>
      <c r="C10" s="4">
        <f>START!I12</f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9" t="s">
        <v>20</v>
      </c>
      <c r="C11" s="4">
        <f>START!I13</f>
        <v>0.99960000000000004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9" t="s">
        <v>23</v>
      </c>
      <c r="C13" s="52" t="str">
        <f>START!G15</f>
        <v>WGS84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9" t="s">
        <v>95</v>
      </c>
      <c r="C14" s="50">
        <f>START!I16</f>
        <v>6378137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9" t="s">
        <v>96</v>
      </c>
      <c r="C15" s="53">
        <f>START!I18</f>
        <v>298.25722356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9" t="s">
        <v>141</v>
      </c>
      <c r="C16" s="4">
        <f>2*(1/C15)-(1/C15)^2</f>
        <v>6.6943799902085387E-3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9" t="s">
        <v>98</v>
      </c>
      <c r="C17" s="4">
        <f>C16/(1-(1/C15))^2</f>
        <v>6.7394967423445662E-3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160" t="s">
        <v>99</v>
      </c>
      <c r="C19" s="14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9" t="s">
        <v>142</v>
      </c>
      <c r="C20" s="4">
        <f>(D5-D7)*COS(D4)</f>
        <v>6.6346673814778226E-2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9" t="s">
        <v>143</v>
      </c>
      <c r="C21" s="4">
        <f>TAN(D4)^2</f>
        <v>4.0286803969239386E-2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9" t="s">
        <v>144</v>
      </c>
      <c r="C22" s="4">
        <f>C14/(1-C16*SIN(D4)^2)^0.5</f>
        <v>6378963.9293137463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4"/>
      <c r="B23" s="49" t="s">
        <v>145</v>
      </c>
      <c r="C23" s="4">
        <f>(C16)*(COS(D4)^2)/(1-C16)</f>
        <v>6.478498733839412E-3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4"/>
      <c r="B24" s="49" t="s">
        <v>146</v>
      </c>
      <c r="C24" s="4">
        <f>C14*((1-I24-I25-I26)*D4-(I27+I28+I29)*SIN(2*D4)+(I30+I31)*SIN(4*D4)-I32*SIN(6*D4))</f>
        <v>1255110.6098738736</v>
      </c>
      <c r="D24" s="4"/>
      <c r="E24" s="4"/>
      <c r="F24" s="4"/>
      <c r="G24" s="4"/>
      <c r="H24" s="54" t="s">
        <v>147</v>
      </c>
      <c r="I24" s="55">
        <f>C16/4</f>
        <v>1.6735949975521347E-3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4"/>
      <c r="B25" s="49" t="s">
        <v>148</v>
      </c>
      <c r="C25" s="4">
        <f>C14*((1-I24-I25-I26)*D6-(I27+I28+I29)*SIN(2*D6)+(I30+I31)*SIN(4*D6)-I32*SIN(6*D6))</f>
        <v>0</v>
      </c>
      <c r="D25" s="4"/>
      <c r="E25" s="4"/>
      <c r="F25" s="4"/>
      <c r="G25" s="4"/>
      <c r="H25" s="56" t="s">
        <v>107</v>
      </c>
      <c r="I25" s="57">
        <f>3*(C16^2)/64</f>
        <v>2.100690161873647E-6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4"/>
      <c r="B26" s="49"/>
      <c r="C26" s="4"/>
      <c r="D26" s="4"/>
      <c r="E26" s="4"/>
      <c r="F26" s="4"/>
      <c r="G26" s="4"/>
      <c r="H26" s="58" t="s">
        <v>109</v>
      </c>
      <c r="I26" s="59">
        <f>5*(C16^3)/256</f>
        <v>5.8595075771978667E-9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/>
      <c r="B27" s="61" t="s">
        <v>149</v>
      </c>
      <c r="C27" s="62">
        <f>C9+C11*C22*(C20+((1-C21+C23)*(C20^3)/6)+((5-18*C21+(C21^2)+72*C23-58*C17)*(C20^5)/120))</f>
        <v>923353.92606965429</v>
      </c>
      <c r="D27" s="4"/>
      <c r="E27" s="4"/>
      <c r="F27" s="4"/>
      <c r="G27" s="4"/>
      <c r="H27" s="54" t="s">
        <v>150</v>
      </c>
      <c r="I27" s="55">
        <f>3*C16/8</f>
        <v>2.5103924963282018E-3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4"/>
      <c r="B28" s="61" t="s">
        <v>151</v>
      </c>
      <c r="C28" s="62">
        <f>C10+C11*(C24-C25+(C22*TAN(D4)*((((C20^2)/2)+(5-C21+9*C23+4*C23^2)*(C20^4)/24)+((61-58*C21+C21^2+600*C23-330*C17)*(C20^6)/720))))</f>
        <v>1257430.625565046</v>
      </c>
      <c r="D28" s="4"/>
      <c r="E28" s="4"/>
      <c r="F28" s="4"/>
      <c r="G28" s="4"/>
      <c r="H28" s="56" t="s">
        <v>113</v>
      </c>
      <c r="I28" s="57">
        <f>3*(C16^2)/32</f>
        <v>4.201380323747294E-6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4"/>
      <c r="C29" s="4"/>
      <c r="D29" s="4"/>
      <c r="E29" s="4"/>
      <c r="F29" s="4"/>
      <c r="G29" s="4"/>
      <c r="H29" s="58" t="s">
        <v>115</v>
      </c>
      <c r="I29" s="59">
        <f>45*(C16^3)/1024</f>
        <v>1.3183892048695201E-8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4"/>
      <c r="C30" s="4"/>
      <c r="D30" s="4"/>
      <c r="E30" s="4"/>
      <c r="F30" s="4"/>
      <c r="G30" s="4"/>
      <c r="H30" s="54" t="s">
        <v>152</v>
      </c>
      <c r="I30" s="55">
        <f>15*(C16^2)/256</f>
        <v>2.6258627023420592E-6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4"/>
      <c r="C31" s="4"/>
      <c r="D31" s="4"/>
      <c r="E31" s="4"/>
      <c r="F31" s="4"/>
      <c r="G31" s="4"/>
      <c r="H31" s="58" t="s">
        <v>115</v>
      </c>
      <c r="I31" s="59">
        <f>45*(C16^3)/1024</f>
        <v>1.3183892048695201E-8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  <c r="H32" s="58" t="s">
        <v>118</v>
      </c>
      <c r="I32" s="59">
        <f>35*(C16^3)/3072</f>
        <v>3.418046086698756E-9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19:C19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K1000"/>
  <sheetViews>
    <sheetView topLeftCell="A44" workbookViewId="0">
      <selection activeCell="D57" sqref="D57"/>
    </sheetView>
  </sheetViews>
  <sheetFormatPr defaultColWidth="12.625" defaultRowHeight="15" customHeight="1" x14ac:dyDescent="0.2"/>
  <cols>
    <col min="1" max="2" width="7.625" customWidth="1"/>
    <col min="3" max="3" width="34.875" customWidth="1"/>
    <col min="4" max="4" width="40" customWidth="1"/>
    <col min="5" max="5" width="9.875" customWidth="1"/>
    <col min="6" max="6" width="9.5" customWidth="1"/>
    <col min="7" max="7" width="8.875" customWidth="1"/>
    <col min="8" max="8" width="9" customWidth="1"/>
    <col min="9" max="9" width="9.125" customWidth="1"/>
    <col min="10" max="10" width="8.875" customWidth="1"/>
    <col min="11" max="11" width="9.625" customWidth="1"/>
    <col min="12" max="26" width="7.625" customWidth="1"/>
  </cols>
  <sheetData>
    <row r="1" spans="2:11" ht="14.25" x14ac:dyDescent="0.2">
      <c r="E1" s="168" t="s">
        <v>35</v>
      </c>
      <c r="F1" s="169"/>
      <c r="G1" s="169"/>
      <c r="H1" s="169"/>
      <c r="I1" s="169"/>
      <c r="J1" s="169"/>
      <c r="K1" s="170"/>
    </row>
    <row r="2" spans="2:11" ht="14.25" x14ac:dyDescent="0.2">
      <c r="E2" s="77" t="s">
        <v>37</v>
      </c>
      <c r="F2" s="78" t="s">
        <v>38</v>
      </c>
      <c r="G2" s="78" t="s">
        <v>39</v>
      </c>
      <c r="H2" s="78" t="s">
        <v>40</v>
      </c>
      <c r="I2" s="78" t="s">
        <v>41</v>
      </c>
      <c r="J2" s="78" t="s">
        <v>42</v>
      </c>
      <c r="K2" s="79" t="s">
        <v>43</v>
      </c>
    </row>
    <row r="3" spans="2:11" x14ac:dyDescent="0.25">
      <c r="D3" s="3" t="s">
        <v>153</v>
      </c>
      <c r="E3" s="80">
        <v>-191.90441429000001</v>
      </c>
      <c r="F3" s="81">
        <v>-39.303182790000001</v>
      </c>
      <c r="G3" s="81">
        <v>-111.4503283</v>
      </c>
      <c r="H3" s="81">
        <v>-9.2883600000000007E-3</v>
      </c>
      <c r="I3" s="81">
        <v>1.9754790000000001E-2</v>
      </c>
      <c r="J3" s="81">
        <v>-4.2737199999999999E-3</v>
      </c>
      <c r="K3" s="82">
        <v>2.52906277E-7</v>
      </c>
    </row>
    <row r="4" spans="2:11" x14ac:dyDescent="0.25">
      <c r="D4" s="3" t="s">
        <v>154</v>
      </c>
      <c r="E4" s="83">
        <v>191.90441429000001</v>
      </c>
      <c r="F4" s="84">
        <v>39.303182790000001</v>
      </c>
      <c r="G4" s="84">
        <v>111.4503283</v>
      </c>
      <c r="H4" s="84">
        <v>9.2883600000000007E-3</v>
      </c>
      <c r="I4" s="85">
        <v>-1.9754790000000001E-2</v>
      </c>
      <c r="J4" s="86">
        <v>4.2737199999999999E-3</v>
      </c>
      <c r="K4" s="59">
        <v>-2.52906277E-7</v>
      </c>
    </row>
    <row r="5" spans="2:11" x14ac:dyDescent="0.25">
      <c r="E5" s="4"/>
      <c r="F5" s="4"/>
      <c r="G5" s="4"/>
      <c r="H5" s="4"/>
      <c r="I5" s="4"/>
      <c r="J5" s="4"/>
      <c r="K5" s="4"/>
    </row>
    <row r="7" spans="2:11" x14ac:dyDescent="0.25">
      <c r="D7" s="87" t="s">
        <v>155</v>
      </c>
      <c r="E7" s="88" t="s">
        <v>20</v>
      </c>
    </row>
    <row r="8" spans="2:11" x14ac:dyDescent="0.25">
      <c r="C8" s="89" t="s">
        <v>156</v>
      </c>
      <c r="D8" s="90" t="s">
        <v>157</v>
      </c>
      <c r="E8" s="91">
        <v>0.99990000000000001</v>
      </c>
    </row>
    <row r="9" spans="2:11" x14ac:dyDescent="0.25">
      <c r="C9" s="89" t="s">
        <v>158</v>
      </c>
      <c r="D9" s="92" t="s">
        <v>24</v>
      </c>
      <c r="E9" s="93">
        <v>0.99960000000000004</v>
      </c>
    </row>
    <row r="12" spans="2:11" x14ac:dyDescent="0.2">
      <c r="D12" s="6"/>
      <c r="E12" s="6"/>
      <c r="H12" s="6"/>
      <c r="I12" s="6"/>
      <c r="J12" s="6"/>
    </row>
    <row r="14" spans="2:11" ht="15" customHeight="1" x14ac:dyDescent="0.3">
      <c r="B14" s="7" t="s">
        <v>3</v>
      </c>
      <c r="C14" s="8" t="s">
        <v>4</v>
      </c>
      <c r="D14" s="9" t="s">
        <v>5</v>
      </c>
    </row>
    <row r="15" spans="2:11" ht="15" customHeight="1" x14ac:dyDescent="0.3">
      <c r="B15" s="10">
        <v>1</v>
      </c>
      <c r="C15" s="11" t="s">
        <v>22</v>
      </c>
      <c r="D15" s="12">
        <v>104.75</v>
      </c>
    </row>
    <row r="16" spans="2:11" ht="15" customHeight="1" x14ac:dyDescent="0.3">
      <c r="B16" s="10">
        <v>2</v>
      </c>
      <c r="C16" s="11" t="s">
        <v>76</v>
      </c>
      <c r="D16" s="12">
        <v>107.75</v>
      </c>
    </row>
    <row r="17" spans="2:4" ht="15" customHeight="1" x14ac:dyDescent="0.3">
      <c r="B17" s="10">
        <v>3</v>
      </c>
      <c r="C17" s="11" t="s">
        <v>70</v>
      </c>
      <c r="D17" s="12">
        <v>107</v>
      </c>
    </row>
    <row r="18" spans="2:4" ht="15" customHeight="1" x14ac:dyDescent="0.3">
      <c r="B18" s="10">
        <v>4</v>
      </c>
      <c r="C18" s="11" t="s">
        <v>68</v>
      </c>
      <c r="D18" s="12">
        <v>106.5</v>
      </c>
    </row>
    <row r="19" spans="2:4" ht="15" customHeight="1" x14ac:dyDescent="0.3">
      <c r="B19" s="10">
        <v>5</v>
      </c>
      <c r="C19" s="11" t="s">
        <v>33</v>
      </c>
      <c r="D19" s="12">
        <v>105</v>
      </c>
    </row>
    <row r="20" spans="2:4" ht="15" customHeight="1" x14ac:dyDescent="0.3">
      <c r="B20" s="10">
        <v>6</v>
      </c>
      <c r="C20" s="11" t="s">
        <v>48</v>
      </c>
      <c r="D20" s="12">
        <v>105.5</v>
      </c>
    </row>
    <row r="21" spans="2:4" ht="15.75" customHeight="1" x14ac:dyDescent="0.3">
      <c r="B21" s="10">
        <v>7</v>
      </c>
      <c r="C21" s="11" t="s">
        <v>59</v>
      </c>
      <c r="D21" s="12">
        <v>105.75</v>
      </c>
    </row>
    <row r="22" spans="2:4" ht="15.75" customHeight="1" x14ac:dyDescent="0.3">
      <c r="B22" s="10">
        <v>8</v>
      </c>
      <c r="C22" s="11" t="s">
        <v>83</v>
      </c>
      <c r="D22" s="12">
        <v>108.25</v>
      </c>
    </row>
    <row r="23" spans="2:4" ht="15.75" customHeight="1" x14ac:dyDescent="0.3">
      <c r="B23" s="10">
        <v>9</v>
      </c>
      <c r="C23" s="11" t="s">
        <v>62</v>
      </c>
      <c r="D23" s="12">
        <v>105.75</v>
      </c>
    </row>
    <row r="24" spans="2:4" ht="15.75" customHeight="1" x14ac:dyDescent="0.3">
      <c r="B24" s="10">
        <v>10</v>
      </c>
      <c r="C24" s="11" t="s">
        <v>67</v>
      </c>
      <c r="D24" s="12">
        <v>106.25</v>
      </c>
    </row>
    <row r="25" spans="2:4" ht="15.75" customHeight="1" x14ac:dyDescent="0.3">
      <c r="B25" s="10">
        <v>11</v>
      </c>
      <c r="C25" s="11" t="s">
        <v>87</v>
      </c>
      <c r="D25" s="12">
        <v>108.5</v>
      </c>
    </row>
    <row r="26" spans="2:4" ht="15.75" customHeight="1" x14ac:dyDescent="0.3">
      <c r="B26" s="10">
        <v>12</v>
      </c>
      <c r="C26" s="11" t="s">
        <v>12</v>
      </c>
      <c r="D26" s="12">
        <v>104.5</v>
      </c>
    </row>
    <row r="27" spans="2:4" ht="15.75" customHeight="1" x14ac:dyDescent="0.3">
      <c r="B27" s="10">
        <v>13</v>
      </c>
      <c r="C27" s="11" t="s">
        <v>32</v>
      </c>
      <c r="D27" s="12">
        <v>105</v>
      </c>
    </row>
    <row r="28" spans="2:4" ht="15.75" customHeight="1" x14ac:dyDescent="0.3">
      <c r="B28" s="10">
        <v>14</v>
      </c>
      <c r="C28" s="11" t="s">
        <v>56</v>
      </c>
      <c r="D28" s="12">
        <v>105.75</v>
      </c>
    </row>
    <row r="29" spans="2:4" ht="15.75" customHeight="1" x14ac:dyDescent="0.3">
      <c r="B29" s="10">
        <v>15</v>
      </c>
      <c r="C29" s="11" t="s">
        <v>79</v>
      </c>
      <c r="D29" s="12">
        <v>107.75</v>
      </c>
    </row>
    <row r="30" spans="2:4" ht="15.75" customHeight="1" x14ac:dyDescent="0.3">
      <c r="B30" s="10">
        <v>16</v>
      </c>
      <c r="C30" s="11" t="s">
        <v>84</v>
      </c>
      <c r="D30" s="12">
        <v>108.5</v>
      </c>
    </row>
    <row r="31" spans="2:4" ht="15.75" customHeight="1" x14ac:dyDescent="0.3">
      <c r="B31" s="10">
        <v>17</v>
      </c>
      <c r="C31" s="11" t="s">
        <v>162</v>
      </c>
      <c r="D31" s="12">
        <v>108.5</v>
      </c>
    </row>
    <row r="32" spans="2:4" ht="15.75" customHeight="1" x14ac:dyDescent="0.3">
      <c r="B32" s="10">
        <v>18</v>
      </c>
      <c r="C32" s="11" t="s">
        <v>163</v>
      </c>
      <c r="D32" s="12">
        <v>103</v>
      </c>
    </row>
    <row r="33" spans="2:4" ht="15.75" customHeight="1" x14ac:dyDescent="0.3">
      <c r="B33" s="10">
        <v>19</v>
      </c>
      <c r="C33" s="11" t="s">
        <v>75</v>
      </c>
      <c r="D33" s="12">
        <v>107.75</v>
      </c>
    </row>
    <row r="34" spans="2:4" ht="15.75" customHeight="1" x14ac:dyDescent="0.3">
      <c r="B34" s="10">
        <v>20</v>
      </c>
      <c r="C34" s="11" t="s">
        <v>31</v>
      </c>
      <c r="D34" s="12">
        <v>105</v>
      </c>
    </row>
    <row r="35" spans="2:4" ht="15.75" customHeight="1" x14ac:dyDescent="0.3">
      <c r="B35" s="10">
        <v>21</v>
      </c>
      <c r="C35" s="11" t="s">
        <v>86</v>
      </c>
      <c r="D35" s="12">
        <v>108.5</v>
      </c>
    </row>
    <row r="36" spans="2:4" ht="15.75" customHeight="1" x14ac:dyDescent="0.3">
      <c r="B36" s="10">
        <v>22</v>
      </c>
      <c r="C36" s="11" t="s">
        <v>45</v>
      </c>
      <c r="D36" s="12">
        <v>105.5</v>
      </c>
    </row>
    <row r="37" spans="2:4" ht="15.75" customHeight="1" x14ac:dyDescent="0.3">
      <c r="B37" s="10">
        <v>23</v>
      </c>
      <c r="C37" s="11" t="s">
        <v>44</v>
      </c>
      <c r="D37" s="12">
        <v>105</v>
      </c>
    </row>
    <row r="38" spans="2:4" ht="15.75" customHeight="1" x14ac:dyDescent="0.3">
      <c r="B38" s="10">
        <v>24</v>
      </c>
      <c r="C38" s="11" t="s">
        <v>34</v>
      </c>
      <c r="D38" s="12">
        <v>105</v>
      </c>
    </row>
    <row r="39" spans="2:4" ht="15.75" customHeight="1" x14ac:dyDescent="0.3">
      <c r="B39" s="10">
        <v>25</v>
      </c>
      <c r="C39" s="11" t="s">
        <v>47</v>
      </c>
      <c r="D39" s="12">
        <v>105.5</v>
      </c>
    </row>
    <row r="40" spans="2:4" ht="15.75" customHeight="1" x14ac:dyDescent="0.3">
      <c r="B40" s="10">
        <v>26</v>
      </c>
      <c r="C40" s="11" t="s">
        <v>46</v>
      </c>
      <c r="D40" s="12">
        <v>105.5</v>
      </c>
    </row>
    <row r="41" spans="2:4" ht="15.75" customHeight="1" x14ac:dyDescent="0.3">
      <c r="B41" s="10">
        <v>27</v>
      </c>
      <c r="C41" s="11" t="s">
        <v>60</v>
      </c>
      <c r="D41" s="12">
        <v>105.75</v>
      </c>
    </row>
    <row r="42" spans="2:4" ht="15.75" customHeight="1" x14ac:dyDescent="0.3">
      <c r="B42" s="10">
        <v>28</v>
      </c>
      <c r="C42" s="11" t="s">
        <v>164</v>
      </c>
      <c r="D42" s="12">
        <v>105</v>
      </c>
    </row>
    <row r="43" spans="2:4" ht="15.75" customHeight="1" x14ac:dyDescent="0.3">
      <c r="B43" s="10">
        <v>29</v>
      </c>
      <c r="C43" s="11" t="s">
        <v>165</v>
      </c>
      <c r="D43" s="12">
        <v>106</v>
      </c>
    </row>
    <row r="44" spans="2:4" ht="15.75" customHeight="1" x14ac:dyDescent="0.3">
      <c r="B44" s="10">
        <v>30</v>
      </c>
      <c r="C44" s="11" t="s">
        <v>49</v>
      </c>
      <c r="D44" s="12">
        <v>105.5</v>
      </c>
    </row>
    <row r="45" spans="2:4" ht="15.75" customHeight="1" x14ac:dyDescent="0.3">
      <c r="B45" s="10">
        <v>31</v>
      </c>
      <c r="C45" s="11" t="s">
        <v>166</v>
      </c>
      <c r="D45" s="12">
        <v>108.25</v>
      </c>
    </row>
    <row r="46" spans="2:4" ht="15.75" customHeight="1" x14ac:dyDescent="0.3">
      <c r="B46" s="10">
        <v>32</v>
      </c>
      <c r="C46" s="11" t="s">
        <v>11</v>
      </c>
      <c r="D46" s="12">
        <v>104.5</v>
      </c>
    </row>
    <row r="47" spans="2:4" ht="15.75" customHeight="1" x14ac:dyDescent="0.3">
      <c r="B47" s="10">
        <v>33</v>
      </c>
      <c r="C47" s="11" t="s">
        <v>73</v>
      </c>
      <c r="D47" s="12">
        <v>107.5</v>
      </c>
    </row>
    <row r="48" spans="2:4" ht="15.75" customHeight="1" x14ac:dyDescent="0.3">
      <c r="B48" s="10">
        <v>34</v>
      </c>
      <c r="C48" s="11" t="s">
        <v>6</v>
      </c>
      <c r="D48" s="12">
        <v>103</v>
      </c>
    </row>
    <row r="49" spans="2:4" ht="15.75" customHeight="1" x14ac:dyDescent="0.3">
      <c r="B49" s="10">
        <v>35</v>
      </c>
      <c r="C49" s="11" t="s">
        <v>78</v>
      </c>
      <c r="D49" s="12">
        <v>107.75</v>
      </c>
    </row>
    <row r="50" spans="2:4" ht="15.75" customHeight="1" x14ac:dyDescent="0.3">
      <c r="B50" s="10">
        <v>36</v>
      </c>
      <c r="C50" s="11" t="s">
        <v>72</v>
      </c>
      <c r="D50" s="12">
        <v>107.25</v>
      </c>
    </row>
    <row r="51" spans="2:4" ht="15.75" customHeight="1" x14ac:dyDescent="0.3">
      <c r="B51" s="10">
        <v>37</v>
      </c>
      <c r="C51" s="11" t="s">
        <v>15</v>
      </c>
      <c r="D51" s="12">
        <v>104.75</v>
      </c>
    </row>
    <row r="52" spans="2:4" ht="15.75" customHeight="1" x14ac:dyDescent="0.3">
      <c r="B52" s="10">
        <v>38</v>
      </c>
      <c r="C52" s="11" t="s">
        <v>57</v>
      </c>
      <c r="D52" s="12">
        <v>105.75</v>
      </c>
    </row>
    <row r="53" spans="2:4" ht="15.75" customHeight="1" x14ac:dyDescent="0.3">
      <c r="B53" s="10">
        <v>39</v>
      </c>
      <c r="C53" s="11" t="s">
        <v>51</v>
      </c>
      <c r="D53" s="12">
        <v>105.5</v>
      </c>
    </row>
    <row r="54" spans="2:4" ht="15.75" customHeight="1" x14ac:dyDescent="0.3">
      <c r="B54" s="10">
        <v>40</v>
      </c>
      <c r="C54" s="11" t="s">
        <v>19</v>
      </c>
      <c r="D54" s="12">
        <v>104.75</v>
      </c>
    </row>
    <row r="55" spans="2:4" ht="15.75" customHeight="1" x14ac:dyDescent="0.3">
      <c r="B55" s="10">
        <v>41</v>
      </c>
      <c r="C55" s="11" t="s">
        <v>36</v>
      </c>
      <c r="D55" s="12">
        <v>105</v>
      </c>
    </row>
    <row r="56" spans="2:4" ht="15.75" customHeight="1" x14ac:dyDescent="0.3">
      <c r="B56" s="10">
        <v>42</v>
      </c>
      <c r="C56" s="11" t="s">
        <v>81</v>
      </c>
      <c r="D56" s="12">
        <v>108.25</v>
      </c>
    </row>
    <row r="57" spans="2:4" ht="15.75" customHeight="1" x14ac:dyDescent="0.3">
      <c r="B57" s="10">
        <v>43</v>
      </c>
      <c r="C57" s="11" t="s">
        <v>21</v>
      </c>
      <c r="D57" s="12">
        <v>104.75</v>
      </c>
    </row>
    <row r="58" spans="2:4" ht="15.75" customHeight="1" x14ac:dyDescent="0.3">
      <c r="B58" s="10">
        <v>44</v>
      </c>
      <c r="C58" s="11" t="s">
        <v>85</v>
      </c>
      <c r="D58" s="12">
        <v>108.5</v>
      </c>
    </row>
    <row r="59" spans="2:4" ht="15.75" customHeight="1" x14ac:dyDescent="0.3">
      <c r="B59" s="10">
        <v>45</v>
      </c>
      <c r="C59" s="11" t="s">
        <v>65</v>
      </c>
      <c r="D59" s="12">
        <v>106</v>
      </c>
    </row>
    <row r="60" spans="2:4" ht="15.75" customHeight="1" x14ac:dyDescent="0.3">
      <c r="B60" s="10">
        <v>46</v>
      </c>
      <c r="C60" s="11" t="s">
        <v>77</v>
      </c>
      <c r="D60" s="12">
        <v>107.75</v>
      </c>
    </row>
    <row r="61" spans="2:4" ht="15.75" customHeight="1" x14ac:dyDescent="0.3">
      <c r="B61" s="10">
        <v>47</v>
      </c>
      <c r="C61" s="11" t="s">
        <v>80</v>
      </c>
      <c r="D61" s="12">
        <v>108</v>
      </c>
    </row>
    <row r="62" spans="2:4" ht="15.75" customHeight="1" x14ac:dyDescent="0.3">
      <c r="B62" s="10">
        <v>48</v>
      </c>
      <c r="C62" s="11" t="s">
        <v>74</v>
      </c>
      <c r="D62" s="12">
        <v>107.75</v>
      </c>
    </row>
    <row r="63" spans="2:4" ht="15.75" customHeight="1" x14ac:dyDescent="0.3">
      <c r="B63" s="10">
        <v>49</v>
      </c>
      <c r="C63" s="11" t="s">
        <v>66</v>
      </c>
      <c r="D63" s="12">
        <v>106.25</v>
      </c>
    </row>
    <row r="64" spans="2:4" ht="15.75" customHeight="1" x14ac:dyDescent="0.3">
      <c r="B64" s="10">
        <v>50</v>
      </c>
      <c r="C64" s="11" t="s">
        <v>54</v>
      </c>
      <c r="D64" s="12">
        <v>105.5</v>
      </c>
    </row>
    <row r="65" spans="2:4" ht="15.75" customHeight="1" x14ac:dyDescent="0.3">
      <c r="B65" s="10">
        <v>51</v>
      </c>
      <c r="C65" s="11" t="s">
        <v>9</v>
      </c>
      <c r="D65" s="12">
        <v>104</v>
      </c>
    </row>
    <row r="66" spans="2:4" ht="15.75" customHeight="1" x14ac:dyDescent="0.3">
      <c r="B66" s="10">
        <v>52</v>
      </c>
      <c r="C66" s="11" t="s">
        <v>52</v>
      </c>
      <c r="D66" s="12">
        <v>105.5</v>
      </c>
    </row>
    <row r="67" spans="2:4" ht="15.75" customHeight="1" x14ac:dyDescent="0.3">
      <c r="B67" s="10">
        <v>53</v>
      </c>
      <c r="C67" s="11" t="s">
        <v>50</v>
      </c>
      <c r="D67" s="12">
        <v>105.5</v>
      </c>
    </row>
    <row r="68" spans="2:4" ht="15.75" customHeight="1" x14ac:dyDescent="0.3">
      <c r="B68" s="10">
        <v>54</v>
      </c>
      <c r="C68" s="11" t="s">
        <v>69</v>
      </c>
      <c r="D68" s="12">
        <v>106.5</v>
      </c>
    </row>
    <row r="69" spans="2:4" ht="15.75" customHeight="1" x14ac:dyDescent="0.3">
      <c r="B69" s="10">
        <v>55</v>
      </c>
      <c r="C69" s="11" t="s">
        <v>167</v>
      </c>
      <c r="D69" s="12">
        <v>105</v>
      </c>
    </row>
    <row r="70" spans="2:4" ht="15.75" customHeight="1" x14ac:dyDescent="0.3">
      <c r="B70" s="10">
        <v>56</v>
      </c>
      <c r="C70" s="11" t="s">
        <v>168</v>
      </c>
      <c r="D70" s="12">
        <v>105.75</v>
      </c>
    </row>
    <row r="71" spans="2:4" ht="15.75" customHeight="1" x14ac:dyDescent="0.3">
      <c r="B71" s="10">
        <v>57</v>
      </c>
      <c r="C71" s="11" t="s">
        <v>169</v>
      </c>
      <c r="D71" s="12">
        <v>107</v>
      </c>
    </row>
    <row r="72" spans="2:4" ht="15.75" customHeight="1" x14ac:dyDescent="0.3">
      <c r="B72" s="10">
        <v>58</v>
      </c>
      <c r="C72" s="11" t="s">
        <v>58</v>
      </c>
      <c r="D72" s="12">
        <v>105.75</v>
      </c>
    </row>
    <row r="73" spans="2:4" ht="15.75" customHeight="1" x14ac:dyDescent="0.3">
      <c r="B73" s="10">
        <v>59</v>
      </c>
      <c r="C73" s="11" t="s">
        <v>55</v>
      </c>
      <c r="D73" s="12">
        <v>105.5</v>
      </c>
    </row>
    <row r="74" spans="2:4" ht="15.75" customHeight="1" x14ac:dyDescent="0.3">
      <c r="B74" s="10">
        <v>60</v>
      </c>
      <c r="C74" s="11" t="s">
        <v>63</v>
      </c>
      <c r="D74" s="12">
        <v>106</v>
      </c>
    </row>
    <row r="75" spans="2:4" ht="15.75" customHeight="1" x14ac:dyDescent="0.3">
      <c r="B75" s="10">
        <v>61</v>
      </c>
      <c r="C75" s="11" t="s">
        <v>53</v>
      </c>
      <c r="D75" s="12">
        <v>105.5</v>
      </c>
    </row>
    <row r="76" spans="2:4" ht="15.75" customHeight="1" x14ac:dyDescent="0.3">
      <c r="B76" s="10">
        <v>62</v>
      </c>
      <c r="C76" s="11" t="s">
        <v>27</v>
      </c>
      <c r="D76" s="12">
        <v>105</v>
      </c>
    </row>
    <row r="77" spans="2:4" ht="15.75" customHeight="1" x14ac:dyDescent="0.3">
      <c r="B77" s="10">
        <v>63</v>
      </c>
      <c r="C77" s="11" t="s">
        <v>17</v>
      </c>
      <c r="D77" s="12">
        <v>104.75</v>
      </c>
    </row>
    <row r="78" spans="2:4" ht="15.75" customHeight="1" x14ac:dyDescent="0.2"/>
    <row r="79" spans="2:4" ht="15.75" customHeight="1" x14ac:dyDescent="0.2"/>
    <row r="80" spans="2: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E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H1000"/>
  <sheetViews>
    <sheetView workbookViewId="0"/>
  </sheetViews>
  <sheetFormatPr defaultColWidth="12.625" defaultRowHeight="15" customHeight="1" x14ac:dyDescent="0.2"/>
  <cols>
    <col min="1" max="1" width="10.75" customWidth="1"/>
    <col min="2" max="2" width="10.625" customWidth="1"/>
    <col min="3" max="3" width="10.875" customWidth="1"/>
    <col min="4" max="4" width="11.375" customWidth="1"/>
    <col min="5" max="26" width="7.625" customWidth="1"/>
  </cols>
  <sheetData>
    <row r="1" spans="1:8" ht="21" customHeight="1" x14ac:dyDescent="0.25">
      <c r="A1" s="94" t="s">
        <v>89</v>
      </c>
      <c r="B1" s="94" t="s">
        <v>90</v>
      </c>
      <c r="C1" s="94" t="s">
        <v>159</v>
      </c>
      <c r="D1" s="94" t="s">
        <v>160</v>
      </c>
      <c r="H1" s="95" t="s">
        <v>161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de27b-a9b5-47bc-847a-71b4f4b4fb02">
      <Terms xmlns="http://schemas.microsoft.com/office/infopath/2007/PartnerControls"/>
    </lcf76f155ced4ddcb4097134ff3c332f>
    <TaxCatchAll xmlns="ee602cbf-6f28-49a3-a57f-75352706df3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12626C33E4BF41998D9912C00E6B5A" ma:contentTypeVersion="14" ma:contentTypeDescription="Create a new document." ma:contentTypeScope="" ma:versionID="3271fa0092272eeb0bd1c331c30e898b">
  <xsd:schema xmlns:xsd="http://www.w3.org/2001/XMLSchema" xmlns:xs="http://www.w3.org/2001/XMLSchema" xmlns:p="http://schemas.microsoft.com/office/2006/metadata/properties" xmlns:ns2="ee602cbf-6f28-49a3-a57f-75352706df36" xmlns:ns3="5c8de27b-a9b5-47bc-847a-71b4f4b4fb02" targetNamespace="http://schemas.microsoft.com/office/2006/metadata/properties" ma:root="true" ma:fieldsID="b98a73541b910d4ba4e0ecb95a88a895" ns2:_="" ns3:_="">
    <xsd:import namespace="ee602cbf-6f28-49a3-a57f-75352706df36"/>
    <xsd:import namespace="5c8de27b-a9b5-47bc-847a-71b4f4b4fb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02cbf-6f28-49a3-a57f-75352706df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4bcee83-b50a-4337-99f4-58b30bc40cf0}" ma:internalName="TaxCatchAll" ma:showField="CatchAllData" ma:web="ee602cbf-6f28-49a3-a57f-75352706d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de27b-a9b5-47bc-847a-71b4f4b4f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f936ee4-7d02-4b25-9bef-ded5670f5b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FC0261-A3CB-4501-89E8-A5F7CDD06EFC}">
  <ds:schemaRefs>
    <ds:schemaRef ds:uri="http://schemas.microsoft.com/office/2006/metadata/properties"/>
    <ds:schemaRef ds:uri="http://schemas.microsoft.com/office/infopath/2007/PartnerControls"/>
    <ds:schemaRef ds:uri="5c8de27b-a9b5-47bc-847a-71b4f4b4fb02"/>
    <ds:schemaRef ds:uri="ee602cbf-6f28-49a3-a57f-75352706df36"/>
  </ds:schemaRefs>
</ds:datastoreItem>
</file>

<file path=customXml/itemProps2.xml><?xml version="1.0" encoding="utf-8"?>
<ds:datastoreItem xmlns:ds="http://schemas.openxmlformats.org/officeDocument/2006/customXml" ds:itemID="{E51244A1-CC14-4E83-BC1A-5D7D5A1593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602cbf-6f28-49a3-a57f-75352706df36"/>
    <ds:schemaRef ds:uri="5c8de27b-a9b5-47bc-847a-71b4f4b4fb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4BE1F0-C78F-49A4-A3E2-ACE0D4D097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AJS-Vn2000=&gt;LatLong</vt:lpstr>
      <vt:lpstr>START</vt:lpstr>
      <vt:lpstr>XY_GEO</vt:lpstr>
      <vt:lpstr>GEO_GEOCENTRIC</vt:lpstr>
      <vt:lpstr>TRANS 7 PARAMETERS</vt:lpstr>
      <vt:lpstr>GEOCENTRIC_GEO</vt:lpstr>
      <vt:lpstr>GEO_XY</vt:lpstr>
      <vt:lpstr>OPTION_PARAMETER</vt:lpstr>
      <vt:lpstr>LIST_COORDINATE</vt:lpstr>
      <vt:lpstr>DSKTTRUC</vt:lpstr>
      <vt:lpstr>DSTINHTP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Le Hoang Hiep</cp:lastModifiedBy>
  <dcterms:created xsi:type="dcterms:W3CDTF">2012-05-05T14:03:01Z</dcterms:created>
  <dcterms:modified xsi:type="dcterms:W3CDTF">2026-05-16T17:21:28Z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0x010100D212626C33E4BF41998D9912C00E6B5A</vt:lpwstr>
  </property>
  <property fmtid="{D5CDD505-2E9C-101B-9397-08002B2CF9AE}" pid="3" name="MediaServiceImageTags">
    <vt:lpwstr/>
  </property>
</Properties>
</file>